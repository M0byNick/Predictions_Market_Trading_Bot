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 Log" sheetId="1" state="visible" r:id="rId3"/>
    <sheet name="Dashboard" sheetId="2" state="visible" r:id="rId4"/>
    <sheet name="Calibr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<sst xmlns="http://schemas.openxmlformats.org/spreadsheetml/2006/main" count="51" uniqueCount="44">
  <si>
    <t xml:space="preserve">Trade #</t>
  </si>
  <si>
    <t xml:space="preserve">Date</t>
  </si>
  <si>
    <t xml:space="preserve">Ticker</t>
  </si>
  <si>
    <t xml:space="preserve">Category</t>
  </si>
  <si>
    <t xml:space="preserve">Market Title</t>
  </si>
  <si>
    <t xml:space="preserve">Side</t>
  </si>
  <si>
    <t xml:space="preserve">Your Prob</t>
  </si>
  <si>
    <t xml:space="preserve">Market Prob</t>
  </si>
  <si>
    <t xml:space="preserve">Edge</t>
  </si>
  <si>
    <t xml:space="preserve">Kelly Frac</t>
  </si>
  <si>
    <t xml:space="preserve"># Contracts</t>
  </si>
  <si>
    <t xml:space="preserve">Cost ($)</t>
  </si>
  <si>
    <t xml:space="preserve">Outcome</t>
  </si>
  <si>
    <t xml:space="preserve">P&amp;L ($)</t>
  </si>
  <si>
    <t xml:space="preserve">Cumul P&amp;L</t>
  </si>
  <si>
    <t xml:space="preserve">Notes</t>
  </si>
  <si>
    <t xml:space="preserve">Portfolio Performance Dashboard</t>
  </si>
  <si>
    <t xml:space="preserve">OVERALL METRICS</t>
  </si>
  <si>
    <t xml:space="preserve">CRYPTO</t>
  </si>
  <si>
    <t xml:space="preserve">Total Trades:</t>
  </si>
  <si>
    <t xml:space="preserve">Trades:</t>
  </si>
  <si>
    <t xml:space="preserve">Win Rate:</t>
  </si>
  <si>
    <t xml:space="preserve">Total P&amp;L:</t>
  </si>
  <si>
    <t xml:space="preserve">P&amp;L:</t>
  </si>
  <si>
    <t xml:space="preserve">Avg Edge at Entry:</t>
  </si>
  <si>
    <t xml:space="preserve">WEATHER</t>
  </si>
  <si>
    <t xml:space="preserve">Avg P&amp;L per Trade:</t>
  </si>
  <si>
    <t xml:space="preserve">Brier Score:</t>
  </si>
  <si>
    <t xml:space="preserve">ECONOMICS</t>
  </si>
  <si>
    <t xml:space="preserve">Probability Calibration Check</t>
  </si>
  <si>
    <t xml:space="preserve">Prob Bucket</t>
  </si>
  <si>
    <t xml:space="preserve">Trades</t>
  </si>
  <si>
    <t xml:space="preserve">Actual Win %</t>
  </si>
  <si>
    <t xml:space="preserve">Expected</t>
  </si>
  <si>
    <t xml:space="preserve">Calibration Gap</t>
  </si>
  <si>
    <t xml:space="preserve">0-20%</t>
  </si>
  <si>
    <t xml:space="preserve">20-40%</t>
  </si>
  <si>
    <t xml:space="preserve">40-60%</t>
  </si>
  <si>
    <t xml:space="preserve">60-80%</t>
  </si>
  <si>
    <t xml:space="preserve">80-100%</t>
  </si>
  <si>
    <t xml:space="preserve">Interpretation</t>
  </si>
  <si>
    <t xml:space="preserve">If Calibration Gap is consistently positive → you're underconfident (good problem to have)</t>
  </si>
  <si>
    <t xml:space="preserve">If consistently negative → you're overconfident (reduce Kelly fraction)</t>
  </si>
  <si>
    <t xml:space="preserve">If close to 0% across buckets → well calibrated (increase Kelly fraction cautiously)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</si>
</sst>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\$#,##0.00;&quot;($&quot;#,##0.00\);\-"/>
    <numFmt numFmtId="167" formatCode="General"/>
    <numFmt numFmtId="168" formatCode="\$#,##0.00"/>
    <numFmt numFmtId="169" formatCode="\$#,##0.00"/>
    <numFmt numFmtId="170" formatCode="0.000"/>
    <numFmt numFmtId="171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6"/>
      <color rgb="FF1B2A4A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2F3F4"/>
        <bgColor rgb="FFFFFFFF"/>
      </patternFill>
    </fill>
    <fill>
      <patternFill patternType="solid">
        <fgColor rgb="FF2D4A7A"/>
        <bgColor rgb="FF1B2A4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3F4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D4A7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35"/>
    <col collapsed="false" customWidth="true" hidden="false" outlineLevel="0" max="6" min="6" style="1" width="8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4" min="12" style="1" width="10"/>
    <col collapsed="false" customWidth="true" hidden="false" outlineLevel="0" max="15" min="15" style="1" width="11"/>
    <col collapsed="false" customWidth="true" hidden="false" outlineLevel="0" max="16" min="16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true" outlineLevel="0" collapsed="false">
      <c r="A2" s="3" t="n">
        <v>1</v>
      </c>
      <c r="B2" s="4"/>
      <c r="C2" s="4"/>
      <c r="D2" s="4"/>
      <c r="E2" s="4"/>
      <c r="F2" s="4"/>
      <c r="G2" s="5"/>
      <c r="H2" s="5"/>
      <c r="I2" s="6" t="str">
        <f aca="false">IF(AND(F2&lt;&gt;"",G2&lt;&gt;"",H2&lt;&gt;""),IF(F2="yes",G2-H2,IF(F2="no",(1-G2)-(1-H2),"")),"")</f>
        <v/>
      </c>
      <c r="J2" s="6" t="str">
        <f aca="false">IF(AND(I2&lt;&gt;"",I2&gt;0,H2&lt;&gt;"",H2&lt;1),I2/(1-H2)*0.25,"")</f>
        <v/>
      </c>
      <c r="K2" s="4"/>
      <c r="L2" s="4"/>
      <c r="M2" s="4"/>
      <c r="N2" s="7" t="str">
        <f aca="false">IF(AND(M2&lt;&gt;"",F2&lt;&gt;"",H2&lt;&gt;"",K2&lt;&gt;""),IF(M2="win",(1-IF(F2="yes",H2,1-H2))*K2,IF(M2="loss",-IF(F2="yes",H2,1-H2)*K2,"")),"")</f>
        <v/>
      </c>
      <c r="O2" s="7" t="str">
        <f aca="false">IF(N2&lt;&gt;"",N2,"")</f>
        <v/>
      </c>
      <c r="P2" s="4"/>
    </row>
    <row r="3" customFormat="false" ht="15" hidden="false" customHeight="true" outlineLevel="0" collapsed="false">
      <c r="A3" s="8" t="n">
        <v>2</v>
      </c>
      <c r="B3" s="9"/>
      <c r="C3" s="9"/>
      <c r="D3" s="9"/>
      <c r="E3" s="9"/>
      <c r="F3" s="9"/>
      <c r="G3" s="10"/>
      <c r="H3" s="10"/>
      <c r="I3" s="11" t="str">
        <f aca="false">IF(AND(F3&lt;&gt;"",G3&lt;&gt;"",H3&lt;&gt;""),IF(F3="yes",G3-H3,IF(F3="no",(1-G3)-(1-H3),"")),"")</f>
        <v/>
      </c>
      <c r="J3" s="11" t="str">
        <f aca="false">IF(AND(I3&lt;&gt;"",I3&gt;0,H3&lt;&gt;"",H3&lt;1),I3/(1-H3)*0.25,"")</f>
        <v/>
      </c>
      <c r="K3" s="9"/>
      <c r="L3" s="9"/>
      <c r="M3" s="9"/>
      <c r="N3" s="12" t="str">
        <f aca="false">IF(AND(M3&lt;&gt;"",F3&lt;&gt;"",H3&lt;&gt;"",K3&lt;&gt;""),IF(M3="win",(1-IF(F3="yes",H3,1-H3))*K3,IF(M3="loss",-IF(F3="yes",H3,1-H3)*K3,"")),"")</f>
        <v/>
      </c>
      <c r="O3" s="12" t="str">
        <f aca="false">IF(N3&lt;&gt;"",IF(O2&lt;&gt;"",O2,0)+N3,IF(O2&lt;&gt;"",O2,""))</f>
        <v/>
      </c>
      <c r="P3" s="9"/>
    </row>
    <row r="4" customFormat="false" ht="15" hidden="false" customHeight="true" outlineLevel="0" collapsed="false">
      <c r="A4" s="3" t="n">
        <v>3</v>
      </c>
      <c r="B4" s="4"/>
      <c r="C4" s="4"/>
      <c r="D4" s="4"/>
      <c r="E4" s="4"/>
      <c r="F4" s="4"/>
      <c r="G4" s="5"/>
      <c r="H4" s="5"/>
      <c r="I4" s="6" t="str">
        <f aca="false">IF(AND(F4&lt;&gt;"",G4&lt;&gt;"",H4&lt;&gt;""),IF(F4="yes",G4-H4,IF(F4="no",(1-G4)-(1-H4),"")),"")</f>
        <v/>
      </c>
      <c r="J4" s="6" t="str">
        <f aca="false">IF(AND(I4&lt;&gt;"",I4&gt;0,H4&lt;&gt;"",H4&lt;1),I4/(1-H4)*0.25,"")</f>
        <v/>
      </c>
      <c r="K4" s="4"/>
      <c r="L4" s="4"/>
      <c r="M4" s="4"/>
      <c r="N4" s="7" t="str">
        <f aca="false">IF(AND(M4&lt;&gt;"",F4&lt;&gt;"",H4&lt;&gt;"",K4&lt;&gt;""),IF(M4="win",(1-IF(F4="yes",H4,1-H4))*K4,IF(M4="loss",-IF(F4="yes",H4,1-H4)*K4,"")),"")</f>
        <v/>
      </c>
      <c r="O4" s="7" t="str">
        <f aca="false">IF(N4&lt;&gt;"",IF(O3&lt;&gt;"",O3,0)+N4,IF(O3&lt;&gt;"",O3,""))</f>
        <v/>
      </c>
      <c r="P4" s="4"/>
    </row>
    <row r="5" customFormat="false" ht="15" hidden="false" customHeight="true" outlineLevel="0" collapsed="false">
      <c r="A5" s="8" t="n">
        <v>4</v>
      </c>
      <c r="B5" s="9"/>
      <c r="C5" s="9"/>
      <c r="D5" s="9"/>
      <c r="E5" s="9"/>
      <c r="F5" s="9"/>
      <c r="G5" s="10"/>
      <c r="H5" s="10"/>
      <c r="I5" s="11" t="str">
        <f aca="false">IF(AND(F5&lt;&gt;"",G5&lt;&gt;"",H5&lt;&gt;""),IF(F5="yes",G5-H5,IF(F5="no",(1-G5)-(1-H5),"")),"")</f>
        <v/>
      </c>
      <c r="J5" s="11" t="str">
        <f aca="false">IF(AND(I5&lt;&gt;"",I5&gt;0,H5&lt;&gt;"",H5&lt;1),I5/(1-H5)*0.25,"")</f>
        <v/>
      </c>
      <c r="K5" s="9"/>
      <c r="L5" s="9"/>
      <c r="M5" s="9"/>
      <c r="N5" s="12" t="str">
        <f aca="false">IF(AND(M5&lt;&gt;"",F5&lt;&gt;"",H5&lt;&gt;"",K5&lt;&gt;""),IF(M5="win",(1-IF(F5="yes",H5,1-H5))*K5,IF(M5="loss",-IF(F5="yes",H5,1-H5)*K5,"")),"")</f>
        <v/>
      </c>
      <c r="O5" s="12" t="str">
        <f aca="false">IF(N5&lt;&gt;"",IF(O4&lt;&gt;"",O4,0)+N5,IF(O4&lt;&gt;"",O4,""))</f>
        <v/>
      </c>
      <c r="P5" s="9"/>
    </row>
    <row r="6" customFormat="false" ht="15" hidden="false" customHeight="true" outlineLevel="0" collapsed="false">
      <c r="A6" s="3" t="n">
        <v>5</v>
      </c>
      <c r="B6" s="4"/>
      <c r="C6" s="4"/>
      <c r="D6" s="4"/>
      <c r="E6" s="4"/>
      <c r="F6" s="4"/>
      <c r="G6" s="5"/>
      <c r="H6" s="5"/>
      <c r="I6" s="6" t="str">
        <f aca="false">IF(AND(F6&lt;&gt;"",G6&lt;&gt;"",H6&lt;&gt;""),IF(F6="yes",G6-H6,IF(F6="no",(1-G6)-(1-H6),"")),"")</f>
        <v/>
      </c>
      <c r="J6" s="6" t="str">
        <f aca="false">IF(AND(I6&lt;&gt;"",I6&gt;0,H6&lt;&gt;"",H6&lt;1),I6/(1-H6)*0.25,"")</f>
        <v/>
      </c>
      <c r="K6" s="4"/>
      <c r="L6" s="4"/>
      <c r="M6" s="4"/>
      <c r="N6" s="7" t="str">
        <f aca="false">IF(AND(M6&lt;&gt;"",F6&lt;&gt;"",H6&lt;&gt;"",K6&lt;&gt;""),IF(M6="win",(1-IF(F6="yes",H6,1-H6))*K6,IF(M6="loss",-IF(F6="yes",H6,1-H6)*K6,"")),"")</f>
        <v/>
      </c>
      <c r="O6" s="7" t="str">
        <f aca="false">IF(N6&lt;&gt;"",IF(O5&lt;&gt;"",O5,0)+N6,IF(O5&lt;&gt;"",O5,""))</f>
        <v/>
      </c>
      <c r="P6" s="4"/>
    </row>
    <row r="7" customFormat="false" ht="15" hidden="false" customHeight="true" outlineLevel="0" collapsed="false">
      <c r="A7" s="8" t="n">
        <v>6</v>
      </c>
      <c r="B7" s="9"/>
      <c r="C7" s="9"/>
      <c r="D7" s="9"/>
      <c r="E7" s="9"/>
      <c r="F7" s="9"/>
      <c r="G7" s="10"/>
      <c r="H7" s="10"/>
      <c r="I7" s="11" t="str">
        <f aca="false">IF(AND(F7&lt;&gt;"",G7&lt;&gt;"",H7&lt;&gt;""),IF(F7="yes",G7-H7,IF(F7="no",(1-G7)-(1-H7),"")),"")</f>
        <v/>
      </c>
      <c r="J7" s="11" t="str">
        <f aca="false">IF(AND(I7&lt;&gt;"",I7&gt;0,H7&lt;&gt;"",H7&lt;1),I7/(1-H7)*0.25,"")</f>
        <v/>
      </c>
      <c r="K7" s="9"/>
      <c r="L7" s="9"/>
      <c r="M7" s="9"/>
      <c r="N7" s="12" t="str">
        <f aca="false">IF(AND(M7&lt;&gt;"",F7&lt;&gt;"",H7&lt;&gt;"",K7&lt;&gt;""),IF(M7="win",(1-IF(F7="yes",H7,1-H7))*K7,IF(M7="loss",-IF(F7="yes",H7,1-H7)*K7,"")),"")</f>
        <v/>
      </c>
      <c r="O7" s="12" t="str">
        <f aca="false">IF(N7&lt;&gt;"",IF(O6&lt;&gt;"",O6,0)+N7,IF(O6&lt;&gt;"",O6,""))</f>
        <v/>
      </c>
      <c r="P7" s="9"/>
    </row>
    <row r="8" customFormat="false" ht="15" hidden="false" customHeight="true" outlineLevel="0" collapsed="false">
      <c r="A8" s="3" t="n">
        <v>7</v>
      </c>
      <c r="B8" s="4"/>
      <c r="C8" s="4"/>
      <c r="D8" s="4"/>
      <c r="E8" s="4"/>
      <c r="F8" s="4"/>
      <c r="G8" s="5"/>
      <c r="H8" s="5"/>
      <c r="I8" s="6" t="str">
        <f aca="false">IF(AND(F8&lt;&gt;"",G8&lt;&gt;"",H8&lt;&gt;""),IF(F8="yes",G8-H8,IF(F8="no",(1-G8)-(1-H8),"")),"")</f>
        <v/>
      </c>
      <c r="J8" s="6" t="str">
        <f aca="false">IF(AND(I8&lt;&gt;"",I8&gt;0,H8&lt;&gt;"",H8&lt;1),I8/(1-H8)*0.25,"")</f>
        <v/>
      </c>
      <c r="K8" s="4"/>
      <c r="L8" s="4"/>
      <c r="M8" s="4"/>
      <c r="N8" s="7" t="str">
        <f aca="false">IF(AND(M8&lt;&gt;"",F8&lt;&gt;"",H8&lt;&gt;"",K8&lt;&gt;""),IF(M8="win",(1-IF(F8="yes",H8,1-H8))*K8,IF(M8="loss",-IF(F8="yes",H8,1-H8)*K8,"")),"")</f>
        <v/>
      </c>
      <c r="O8" s="7" t="str">
        <f aca="false">IF(N8&lt;&gt;"",IF(O7&lt;&gt;"",O7,0)+N8,IF(O7&lt;&gt;"",O7,""))</f>
        <v/>
      </c>
      <c r="P8" s="4"/>
    </row>
    <row r="9" customFormat="false" ht="15" hidden="false" customHeight="true" outlineLevel="0" collapsed="false">
      <c r="A9" s="8" t="n">
        <v>8</v>
      </c>
      <c r="B9" s="9"/>
      <c r="C9" s="9"/>
      <c r="D9" s="9"/>
      <c r="E9" s="9"/>
      <c r="F9" s="9"/>
      <c r="G9" s="10"/>
      <c r="H9" s="10"/>
      <c r="I9" s="11" t="str">
        <f aca="false">IF(AND(F9&lt;&gt;"",G9&lt;&gt;"",H9&lt;&gt;""),IF(F9="yes",G9-H9,IF(F9="no",(1-G9)-(1-H9),"")),"")</f>
        <v/>
      </c>
      <c r="J9" s="11" t="str">
        <f aca="false">IF(AND(I9&lt;&gt;"",I9&gt;0,H9&lt;&gt;"",H9&lt;1),I9/(1-H9)*0.25,"")</f>
        <v/>
      </c>
      <c r="K9" s="9"/>
      <c r="L9" s="9"/>
      <c r="M9" s="9"/>
      <c r="N9" s="12" t="str">
        <f aca="false">IF(AND(M9&lt;&gt;"",F9&lt;&gt;"",H9&lt;&gt;"",K9&lt;&gt;""),IF(M9="win",(1-IF(F9="yes",H9,1-H9))*K9,IF(M9="loss",-IF(F9="yes",H9,1-H9)*K9,"")),"")</f>
        <v/>
      </c>
      <c r="O9" s="12" t="str">
        <f aca="false">IF(N9&lt;&gt;"",IF(O8&lt;&gt;"",O8,0)+N9,IF(O8&lt;&gt;"",O8,""))</f>
        <v/>
      </c>
      <c r="P9" s="9"/>
    </row>
    <row r="10" customFormat="false" ht="15" hidden="false" customHeight="true" outlineLevel="0" collapsed="false">
      <c r="A10" s="3" t="n">
        <v>9</v>
      </c>
      <c r="B10" s="4"/>
      <c r="C10" s="4"/>
      <c r="D10" s="4"/>
      <c r="E10" s="4"/>
      <c r="F10" s="4"/>
      <c r="G10" s="5"/>
      <c r="H10" s="5"/>
      <c r="I10" s="6" t="str">
        <f aca="false">IF(AND(F10&lt;&gt;"",G10&lt;&gt;"",H10&lt;&gt;""),IF(F10="yes",G10-H10,IF(F10="no",(1-G10)-(1-H10),"")),"")</f>
        <v/>
      </c>
      <c r="J10" s="6" t="str">
        <f aca="false">IF(AND(I10&lt;&gt;"",I10&gt;0,H10&lt;&gt;"",H10&lt;1),I10/(1-H10)*0.25,"")</f>
        <v/>
      </c>
      <c r="K10" s="4"/>
      <c r="L10" s="4"/>
      <c r="M10" s="4"/>
      <c r="N10" s="7" t="str">
        <f aca="false">IF(AND(M10&lt;&gt;"",F10&lt;&gt;"",H10&lt;&gt;"",K10&lt;&gt;""),IF(M10="win",(1-IF(F10="yes",H10,1-H10))*K10,IF(M10="loss",-IF(F10="yes",H10,1-H10)*K10,"")),"")</f>
        <v/>
      </c>
      <c r="O10" s="7" t="str">
        <f aca="false">IF(N10&lt;&gt;"",IF(O9&lt;&gt;"",O9,0)+N10,IF(O9&lt;&gt;"",O9,""))</f>
        <v/>
      </c>
      <c r="P10" s="4"/>
    </row>
    <row r="11" customFormat="false" ht="15" hidden="false" customHeight="true" outlineLevel="0" collapsed="false">
      <c r="A11" s="8" t="n">
        <v>10</v>
      </c>
      <c r="B11" s="9"/>
      <c r="C11" s="9"/>
      <c r="D11" s="9"/>
      <c r="E11" s="9"/>
      <c r="F11" s="9"/>
      <c r="G11" s="10"/>
      <c r="H11" s="10"/>
      <c r="I11" s="11" t="str">
        <f aca="false">IF(AND(F11&lt;&gt;"",G11&lt;&gt;"",H11&lt;&gt;""),IF(F11="yes",G11-H11,IF(F11="no",(1-G11)-(1-H11),"")),"")</f>
        <v/>
      </c>
      <c r="J11" s="11" t="str">
        <f aca="false">IF(AND(I11&lt;&gt;"",I11&gt;0,H11&lt;&gt;"",H11&lt;1),I11/(1-H11)*0.25,"")</f>
        <v/>
      </c>
      <c r="K11" s="9"/>
      <c r="L11" s="9"/>
      <c r="M11" s="9"/>
      <c r="N11" s="12" t="str">
        <f aca="false">IF(AND(M11&lt;&gt;"",F11&lt;&gt;"",H11&lt;&gt;"",K11&lt;&gt;""),IF(M11="win",(1-IF(F11="yes",H11,1-H11))*K11,IF(M11="loss",-IF(F11="yes",H11,1-H11)*K11,"")),"")</f>
        <v/>
      </c>
      <c r="O11" s="12" t="str">
        <f aca="false">IF(N11&lt;&gt;"",IF(O10&lt;&gt;"",O10,0)+N11,IF(O10&lt;&gt;"",O10,""))</f>
        <v/>
      </c>
      <c r="P11" s="9"/>
    </row>
    <row r="12" customFormat="false" ht="15" hidden="false" customHeight="true" outlineLevel="0" collapsed="false">
      <c r="A12" s="3" t="n">
        <v>11</v>
      </c>
      <c r="B12" s="4"/>
      <c r="C12" s="4"/>
      <c r="D12" s="4"/>
      <c r="E12" s="4"/>
      <c r="F12" s="4"/>
      <c r="G12" s="5"/>
      <c r="H12" s="5"/>
      <c r="I12" s="6" t="str">
        <f aca="false">IF(AND(F12&lt;&gt;"",G12&lt;&gt;"",H12&lt;&gt;""),IF(F12="yes",G12-H12,IF(F12="no",(1-G12)-(1-H12),"")),"")</f>
        <v/>
      </c>
      <c r="J12" s="6" t="str">
        <f aca="false">IF(AND(I12&lt;&gt;"",I12&gt;0,H12&lt;&gt;"",H12&lt;1),I12/(1-H12)*0.25,"")</f>
        <v/>
      </c>
      <c r="K12" s="4"/>
      <c r="L12" s="4"/>
      <c r="M12" s="4"/>
      <c r="N12" s="7" t="str">
        <f aca="false">IF(AND(M12&lt;&gt;"",F12&lt;&gt;"",H12&lt;&gt;"",K12&lt;&gt;""),IF(M12="win",(1-IF(F12="yes",H12,1-H12))*K12,IF(M12="loss",-IF(F12="yes",H12,1-H12)*K12,"")),"")</f>
        <v/>
      </c>
      <c r="O12" s="7" t="str">
        <f aca="false">IF(N12&lt;&gt;"",IF(O11&lt;&gt;"",O11,0)+N12,IF(O11&lt;&gt;"",O11,""))</f>
        <v/>
      </c>
      <c r="P12" s="4"/>
    </row>
    <row r="13" customFormat="false" ht="15" hidden="false" customHeight="true" outlineLevel="0" collapsed="false">
      <c r="A13" s="8" t="n">
        <v>12</v>
      </c>
      <c r="B13" s="9"/>
      <c r="C13" s="9"/>
      <c r="D13" s="9"/>
      <c r="E13" s="9"/>
      <c r="F13" s="9"/>
      <c r="G13" s="10"/>
      <c r="H13" s="10"/>
      <c r="I13" s="11" t="str">
        <f aca="false">IF(AND(F13&lt;&gt;"",G13&lt;&gt;"",H13&lt;&gt;""),IF(F13="yes",G13-H13,IF(F13="no",(1-G13)-(1-H13),"")),"")</f>
        <v/>
      </c>
      <c r="J13" s="11" t="str">
        <f aca="false">IF(AND(I13&lt;&gt;"",I13&gt;0,H13&lt;&gt;"",H13&lt;1),I13/(1-H13)*0.25,"")</f>
        <v/>
      </c>
      <c r="K13" s="9"/>
      <c r="L13" s="9"/>
      <c r="M13" s="9"/>
      <c r="N13" s="12" t="str">
        <f aca="false">IF(AND(M13&lt;&gt;"",F13&lt;&gt;"",H13&lt;&gt;"",K13&lt;&gt;""),IF(M13="win",(1-IF(F13="yes",H13,1-H13))*K13,IF(M13="loss",-IF(F13="yes",H13,1-H13)*K13,"")),"")</f>
        <v/>
      </c>
      <c r="O13" s="12" t="str">
        <f aca="false">IF(N13&lt;&gt;"",IF(O12&lt;&gt;"",O12,0)+N13,IF(O12&lt;&gt;"",O12,""))</f>
        <v/>
      </c>
      <c r="P13" s="9"/>
    </row>
    <row r="14" customFormat="false" ht="15" hidden="false" customHeight="true" outlineLevel="0" collapsed="false">
      <c r="A14" s="3" t="n">
        <v>13</v>
      </c>
      <c r="B14" s="4"/>
      <c r="C14" s="4"/>
      <c r="D14" s="4"/>
      <c r="E14" s="4"/>
      <c r="F14" s="4"/>
      <c r="G14" s="5"/>
      <c r="H14" s="5"/>
      <c r="I14" s="6" t="str">
        <f aca="false">IF(AND(F14&lt;&gt;"",G14&lt;&gt;"",H14&lt;&gt;""),IF(F14="yes",G14-H14,IF(F14="no",(1-G14)-(1-H14),"")),"")</f>
        <v/>
      </c>
      <c r="J14" s="6" t="str">
        <f aca="false">IF(AND(I14&lt;&gt;"",I14&gt;0,H14&lt;&gt;"",H14&lt;1),I14/(1-H14)*0.25,"")</f>
        <v/>
      </c>
      <c r="K14" s="4"/>
      <c r="L14" s="4"/>
      <c r="M14" s="4"/>
      <c r="N14" s="7" t="str">
        <f aca="false">IF(AND(M14&lt;&gt;"",F14&lt;&gt;"",H14&lt;&gt;"",K14&lt;&gt;""),IF(M14="win",(1-IF(F14="yes",H14,1-H14))*K14,IF(M14="loss",-IF(F14="yes",H14,1-H14)*K14,"")),"")</f>
        <v/>
      </c>
      <c r="O14" s="7" t="str">
        <f aca="false">IF(N14&lt;&gt;"",IF(O13&lt;&gt;"",O13,0)+N14,IF(O13&lt;&gt;"",O13,""))</f>
        <v/>
      </c>
      <c r="P14" s="4"/>
    </row>
    <row r="15" customFormat="false" ht="15" hidden="false" customHeight="true" outlineLevel="0" collapsed="false">
      <c r="A15" s="8" t="n">
        <v>14</v>
      </c>
      <c r="B15" s="9"/>
      <c r="C15" s="9"/>
      <c r="D15" s="9"/>
      <c r="E15" s="9"/>
      <c r="F15" s="9"/>
      <c r="G15" s="10"/>
      <c r="H15" s="10"/>
      <c r="I15" s="11" t="str">
        <f aca="false">IF(AND(F15&lt;&gt;"",G15&lt;&gt;"",H15&lt;&gt;""),IF(F15="yes",G15-H15,IF(F15="no",(1-G15)-(1-H15),"")),"")</f>
        <v/>
      </c>
      <c r="J15" s="11" t="str">
        <f aca="false">IF(AND(I15&lt;&gt;"",I15&gt;0,H15&lt;&gt;"",H15&lt;1),I15/(1-H15)*0.25,"")</f>
        <v/>
      </c>
      <c r="K15" s="9"/>
      <c r="L15" s="9"/>
      <c r="M15" s="9"/>
      <c r="N15" s="12" t="str">
        <f aca="false">IF(AND(M15&lt;&gt;"",F15&lt;&gt;"",H15&lt;&gt;"",K15&lt;&gt;""),IF(M15="win",(1-IF(F15="yes",H15,1-H15))*K15,IF(M15="loss",-IF(F15="yes",H15,1-H15)*K15,"")),"")</f>
        <v/>
      </c>
      <c r="O15" s="12" t="str">
        <f aca="false">IF(N15&lt;&gt;"",IF(O14&lt;&gt;"",O14,0)+N15,IF(O14&lt;&gt;"",O14,""))</f>
        <v/>
      </c>
      <c r="P15" s="9"/>
    </row>
    <row r="16" customFormat="false" ht="15" hidden="false" customHeight="true" outlineLevel="0" collapsed="false">
      <c r="A16" s="3" t="n">
        <v>15</v>
      </c>
      <c r="B16" s="4"/>
      <c r="C16" s="4"/>
      <c r="D16" s="4"/>
      <c r="E16" s="4"/>
      <c r="F16" s="4"/>
      <c r="G16" s="5"/>
      <c r="H16" s="5"/>
      <c r="I16" s="6" t="str">
        <f aca="false">IF(AND(F16&lt;&gt;"",G16&lt;&gt;"",H16&lt;&gt;""),IF(F16="yes",G16-H16,IF(F16="no",(1-G16)-(1-H16),"")),"")</f>
        <v/>
      </c>
      <c r="J16" s="6" t="str">
        <f aca="false">IF(AND(I16&lt;&gt;"",I16&gt;0,H16&lt;&gt;"",H16&lt;1),I16/(1-H16)*0.25,"")</f>
        <v/>
      </c>
      <c r="K16" s="4"/>
      <c r="L16" s="4"/>
      <c r="M16" s="4"/>
      <c r="N16" s="7" t="str">
        <f aca="false">IF(AND(M16&lt;&gt;"",F16&lt;&gt;"",H16&lt;&gt;"",K16&lt;&gt;""),IF(M16="win",(1-IF(F16="yes",H16,1-H16))*K16,IF(M16="loss",-IF(F16="yes",H16,1-H16)*K16,"")),"")</f>
        <v/>
      </c>
      <c r="O16" s="7" t="str">
        <f aca="false">IF(N16&lt;&gt;"",IF(O15&lt;&gt;"",O15,0)+N16,IF(O15&lt;&gt;"",O15,""))</f>
        <v/>
      </c>
      <c r="P16" s="4"/>
    </row>
    <row r="17" customFormat="false" ht="15" hidden="false" customHeight="true" outlineLevel="0" collapsed="false">
      <c r="A17" s="8" t="n">
        <v>16</v>
      </c>
      <c r="B17" s="9"/>
      <c r="C17" s="9"/>
      <c r="D17" s="9"/>
      <c r="E17" s="9"/>
      <c r="F17" s="9"/>
      <c r="G17" s="10"/>
      <c r="H17" s="10"/>
      <c r="I17" s="11" t="str">
        <f aca="false">IF(AND(F17&lt;&gt;"",G17&lt;&gt;"",H17&lt;&gt;""),IF(F17="yes",G17-H17,IF(F17="no",(1-G17)-(1-H17),"")),"")</f>
        <v/>
      </c>
      <c r="J17" s="11" t="str">
        <f aca="false">IF(AND(I17&lt;&gt;"",I17&gt;0,H17&lt;&gt;"",H17&lt;1),I17/(1-H17)*0.25,"")</f>
        <v/>
      </c>
      <c r="K17" s="9"/>
      <c r="L17" s="9"/>
      <c r="M17" s="9"/>
      <c r="N17" s="12" t="str">
        <f aca="false">IF(AND(M17&lt;&gt;"",F17&lt;&gt;"",H17&lt;&gt;"",K17&lt;&gt;""),IF(M17="win",(1-IF(F17="yes",H17,1-H17))*K17,IF(M17="loss",-IF(F17="yes",H17,1-H17)*K17,"")),"")</f>
        <v/>
      </c>
      <c r="O17" s="12" t="str">
        <f aca="false">IF(N17&lt;&gt;"",IF(O16&lt;&gt;"",O16,0)+N17,IF(O16&lt;&gt;"",O16,""))</f>
        <v/>
      </c>
      <c r="P17" s="9"/>
    </row>
    <row r="18" customFormat="false" ht="15" hidden="false" customHeight="true" outlineLevel="0" collapsed="false">
      <c r="A18" s="3" t="n">
        <v>17</v>
      </c>
      <c r="B18" s="4"/>
      <c r="C18" s="4"/>
      <c r="D18" s="4"/>
      <c r="E18" s="4"/>
      <c r="F18" s="4"/>
      <c r="G18" s="5"/>
      <c r="H18" s="5"/>
      <c r="I18" s="6" t="str">
        <f aca="false">IF(AND(F18&lt;&gt;"",G18&lt;&gt;"",H18&lt;&gt;""),IF(F18="yes",G18-H18,IF(F18="no",(1-G18)-(1-H18),"")),"")</f>
        <v/>
      </c>
      <c r="J18" s="6" t="str">
        <f aca="false">IF(AND(I18&lt;&gt;"",I18&gt;0,H18&lt;&gt;"",H18&lt;1),I18/(1-H18)*0.25,"")</f>
        <v/>
      </c>
      <c r="K18" s="4"/>
      <c r="L18" s="4"/>
      <c r="M18" s="4"/>
      <c r="N18" s="7" t="str">
        <f aca="false">IF(AND(M18&lt;&gt;"",F18&lt;&gt;"",H18&lt;&gt;"",K18&lt;&gt;""),IF(M18="win",(1-IF(F18="yes",H18,1-H18))*K18,IF(M18="loss",-IF(F18="yes",H18,1-H18)*K18,"")),"")</f>
        <v/>
      </c>
      <c r="O18" s="7" t="str">
        <f aca="false">IF(N18&lt;&gt;"",IF(O17&lt;&gt;"",O17,0)+N18,IF(O17&lt;&gt;"",O17,""))</f>
        <v/>
      </c>
      <c r="P18" s="4"/>
    </row>
    <row r="19" customFormat="false" ht="15" hidden="false" customHeight="true" outlineLevel="0" collapsed="false">
      <c r="A19" s="8" t="n">
        <v>18</v>
      </c>
      <c r="B19" s="9"/>
      <c r="C19" s="9"/>
      <c r="D19" s="9"/>
      <c r="E19" s="9"/>
      <c r="F19" s="9"/>
      <c r="G19" s="10"/>
      <c r="H19" s="10"/>
      <c r="I19" s="11" t="str">
        <f aca="false">IF(AND(F19&lt;&gt;"",G19&lt;&gt;"",H19&lt;&gt;""),IF(F19="yes",G19-H19,IF(F19="no",(1-G19)-(1-H19),"")),"")</f>
        <v/>
      </c>
      <c r="J19" s="11" t="str">
        <f aca="false">IF(AND(I19&lt;&gt;"",I19&gt;0,H19&lt;&gt;"",H19&lt;1),I19/(1-H19)*0.25,"")</f>
        <v/>
      </c>
      <c r="K19" s="9"/>
      <c r="L19" s="9"/>
      <c r="M19" s="9"/>
      <c r="N19" s="12" t="str">
        <f aca="false">IF(AND(M19&lt;&gt;"",F19&lt;&gt;"",H19&lt;&gt;"",K19&lt;&gt;""),IF(M19="win",(1-IF(F19="yes",H19,1-H19))*K19,IF(M19="loss",-IF(F19="yes",H19,1-H19)*K19,"")),"")</f>
        <v/>
      </c>
      <c r="O19" s="12" t="str">
        <f aca="false">IF(N19&lt;&gt;"",IF(O18&lt;&gt;"",O18,0)+N19,IF(O18&lt;&gt;"",O18,""))</f>
        <v/>
      </c>
      <c r="P19" s="9"/>
    </row>
    <row r="20" customFormat="false" ht="15" hidden="false" customHeight="true" outlineLevel="0" collapsed="false">
      <c r="A20" s="3" t="n">
        <v>19</v>
      </c>
      <c r="B20" s="4"/>
      <c r="C20" s="4"/>
      <c r="D20" s="4"/>
      <c r="E20" s="4"/>
      <c r="F20" s="4"/>
      <c r="G20" s="5"/>
      <c r="H20" s="5"/>
      <c r="I20" s="6" t="str">
        <f aca="false">IF(AND(F20&lt;&gt;"",G20&lt;&gt;"",H20&lt;&gt;""),IF(F20="yes",G20-H20,IF(F20="no",(1-G20)-(1-H20),"")),"")</f>
        <v/>
      </c>
      <c r="J20" s="6" t="str">
        <f aca="false">IF(AND(I20&lt;&gt;"",I20&gt;0,H20&lt;&gt;"",H20&lt;1),I20/(1-H20)*0.25,"")</f>
        <v/>
      </c>
      <c r="K20" s="4"/>
      <c r="L20" s="4"/>
      <c r="M20" s="4"/>
      <c r="N20" s="7" t="str">
        <f aca="false">IF(AND(M20&lt;&gt;"",F20&lt;&gt;"",H20&lt;&gt;"",K20&lt;&gt;""),IF(M20="win",(1-IF(F20="yes",H20,1-H20))*K20,IF(M20="loss",-IF(F20="yes",H20,1-H20)*K20,"")),"")</f>
        <v/>
      </c>
      <c r="O20" s="7" t="str">
        <f aca="false">IF(N20&lt;&gt;"",IF(O19&lt;&gt;"",O19,0)+N20,IF(O19&lt;&gt;"",O19,""))</f>
        <v/>
      </c>
      <c r="P20" s="4"/>
    </row>
    <row r="21" customFormat="false" ht="15" hidden="false" customHeight="true" outlineLevel="0" collapsed="false">
      <c r="A21" s="8" t="n">
        <v>20</v>
      </c>
      <c r="B21" s="9"/>
      <c r="C21" s="9"/>
      <c r="D21" s="9"/>
      <c r="E21" s="9"/>
      <c r="F21" s="9"/>
      <c r="G21" s="10"/>
      <c r="H21" s="10"/>
      <c r="I21" s="11" t="str">
        <f aca="false">IF(AND(F21&lt;&gt;"",G21&lt;&gt;"",H21&lt;&gt;""),IF(F21="yes",G21-H21,IF(F21="no",(1-G21)-(1-H21),"")),"")</f>
        <v/>
      </c>
      <c r="J21" s="11" t="str">
        <f aca="false">IF(AND(I21&lt;&gt;"",I21&gt;0,H21&lt;&gt;"",H21&lt;1),I21/(1-H21)*0.25,"")</f>
        <v/>
      </c>
      <c r="K21" s="9"/>
      <c r="L21" s="9"/>
      <c r="M21" s="9"/>
      <c r="N21" s="12" t="str">
        <f aca="false">IF(AND(M21&lt;&gt;"",F21&lt;&gt;"",H21&lt;&gt;"",K21&lt;&gt;""),IF(M21="win",(1-IF(F21="yes",H21,1-H21))*K21,IF(M21="loss",-IF(F21="yes",H21,1-H21)*K21,"")),"")</f>
        <v/>
      </c>
      <c r="O21" s="12" t="str">
        <f aca="false">IF(N21&lt;&gt;"",IF(O20&lt;&gt;"",O20,0)+N21,IF(O20&lt;&gt;"",O20,""))</f>
        <v/>
      </c>
      <c r="P21" s="9"/>
    </row>
    <row r="22" customFormat="false" ht="15" hidden="false" customHeight="true" outlineLevel="0" collapsed="false">
      <c r="A22" s="3" t="n">
        <v>21</v>
      </c>
      <c r="B22" s="4"/>
      <c r="C22" s="4"/>
      <c r="D22" s="4"/>
      <c r="E22" s="4"/>
      <c r="F22" s="4"/>
      <c r="G22" s="5"/>
      <c r="H22" s="5"/>
      <c r="I22" s="6" t="str">
        <f aca="false">IF(AND(F22&lt;&gt;"",G22&lt;&gt;"",H22&lt;&gt;""),IF(F22="yes",G22-H22,IF(F22="no",(1-G22)-(1-H22),"")),"")</f>
        <v/>
      </c>
      <c r="J22" s="6" t="str">
        <f aca="false">IF(AND(I22&lt;&gt;"",I22&gt;0,H22&lt;&gt;"",H22&lt;1),I22/(1-H22)*0.25,"")</f>
        <v/>
      </c>
      <c r="K22" s="4"/>
      <c r="L22" s="4"/>
      <c r="M22" s="4"/>
      <c r="N22" s="7" t="str">
        <f aca="false">IF(AND(M22&lt;&gt;"",F22&lt;&gt;"",H22&lt;&gt;"",K22&lt;&gt;""),IF(M22="win",(1-IF(F22="yes",H22,1-H22))*K22,IF(M22="loss",-IF(F22="yes",H22,1-H22)*K22,"")),"")</f>
        <v/>
      </c>
      <c r="O22" s="7" t="str">
        <f aca="false">IF(N22&lt;&gt;"",IF(O21&lt;&gt;"",O21,0)+N22,IF(O21&lt;&gt;"",O21,""))</f>
        <v/>
      </c>
      <c r="P22" s="4"/>
    </row>
    <row r="23" customFormat="false" ht="15" hidden="false" customHeight="true" outlineLevel="0" collapsed="false">
      <c r="A23" s="8" t="n">
        <v>22</v>
      </c>
      <c r="B23" s="9"/>
      <c r="C23" s="9"/>
      <c r="D23" s="9"/>
      <c r="E23" s="9"/>
      <c r="F23" s="9"/>
      <c r="G23" s="10"/>
      <c r="H23" s="10"/>
      <c r="I23" s="11" t="str">
        <f aca="false">IF(AND(F23&lt;&gt;"",G23&lt;&gt;"",H23&lt;&gt;""),IF(F23="yes",G23-H23,IF(F23="no",(1-G23)-(1-H23),"")),"")</f>
        <v/>
      </c>
      <c r="J23" s="11" t="str">
        <f aca="false">IF(AND(I23&lt;&gt;"",I23&gt;0,H23&lt;&gt;"",H23&lt;1),I23/(1-H23)*0.25,"")</f>
        <v/>
      </c>
      <c r="K23" s="9"/>
      <c r="L23" s="9"/>
      <c r="M23" s="9"/>
      <c r="N23" s="12" t="str">
        <f aca="false">IF(AND(M23&lt;&gt;"",F23&lt;&gt;"",H23&lt;&gt;"",K23&lt;&gt;""),IF(M23="win",(1-IF(F23="yes",H23,1-H23))*K23,IF(M23="loss",-IF(F23="yes",H23,1-H23)*K23,"")),"")</f>
        <v/>
      </c>
      <c r="O23" s="12" t="str">
        <f aca="false">IF(N23&lt;&gt;"",IF(O22&lt;&gt;"",O22,0)+N23,IF(O22&lt;&gt;"",O22,""))</f>
        <v/>
      </c>
      <c r="P23" s="9"/>
    </row>
    <row r="24" customFormat="false" ht="15" hidden="false" customHeight="true" outlineLevel="0" collapsed="false">
      <c r="A24" s="3" t="n">
        <v>23</v>
      </c>
      <c r="B24" s="4"/>
      <c r="C24" s="4"/>
      <c r="D24" s="4"/>
      <c r="E24" s="4"/>
      <c r="F24" s="4"/>
      <c r="G24" s="5"/>
      <c r="H24" s="5"/>
      <c r="I24" s="6" t="str">
        <f aca="false">IF(AND(F24&lt;&gt;"",G24&lt;&gt;"",H24&lt;&gt;""),IF(F24="yes",G24-H24,IF(F24="no",(1-G24)-(1-H24),"")),"")</f>
        <v/>
      </c>
      <c r="J24" s="6" t="str">
        <f aca="false">IF(AND(I24&lt;&gt;"",I24&gt;0,H24&lt;&gt;"",H24&lt;1),I24/(1-H24)*0.25,"")</f>
        <v/>
      </c>
      <c r="K24" s="4"/>
      <c r="L24" s="4"/>
      <c r="M24" s="4"/>
      <c r="N24" s="7" t="str">
        <f aca="false">IF(AND(M24&lt;&gt;"",F24&lt;&gt;"",H24&lt;&gt;"",K24&lt;&gt;""),IF(M24="win",(1-IF(F24="yes",H24,1-H24))*K24,IF(M24="loss",-IF(F24="yes",H24,1-H24)*K24,"")),"")</f>
        <v/>
      </c>
      <c r="O24" s="7" t="str">
        <f aca="false">IF(N24&lt;&gt;"",IF(O23&lt;&gt;"",O23,0)+N24,IF(O23&lt;&gt;"",O23,""))</f>
        <v/>
      </c>
      <c r="P24" s="4"/>
    </row>
    <row r="25" customFormat="false" ht="15" hidden="false" customHeight="true" outlineLevel="0" collapsed="false">
      <c r="A25" s="8" t="n">
        <v>24</v>
      </c>
      <c r="B25" s="9"/>
      <c r="C25" s="9"/>
      <c r="D25" s="9"/>
      <c r="E25" s="9"/>
      <c r="F25" s="9"/>
      <c r="G25" s="10"/>
      <c r="H25" s="10"/>
      <c r="I25" s="11" t="str">
        <f aca="false">IF(AND(F25&lt;&gt;"",G25&lt;&gt;"",H25&lt;&gt;""),IF(F25="yes",G25-H25,IF(F25="no",(1-G25)-(1-H25),"")),"")</f>
        <v/>
      </c>
      <c r="J25" s="11" t="str">
        <f aca="false">IF(AND(I25&lt;&gt;"",I25&gt;0,H25&lt;&gt;"",H25&lt;1),I25/(1-H25)*0.25,"")</f>
        <v/>
      </c>
      <c r="K25" s="9"/>
      <c r="L25" s="9"/>
      <c r="M25" s="9"/>
      <c r="N25" s="12" t="str">
        <f aca="false">IF(AND(M25&lt;&gt;"",F25&lt;&gt;"",H25&lt;&gt;"",K25&lt;&gt;""),IF(M25="win",(1-IF(F25="yes",H25,1-H25))*K25,IF(M25="loss",-IF(F25="yes",H25,1-H25)*K25,"")),"")</f>
        <v/>
      </c>
      <c r="O25" s="12" t="str">
        <f aca="false">IF(N25&lt;&gt;"",IF(O24&lt;&gt;"",O24,0)+N25,IF(O24&lt;&gt;"",O24,""))</f>
        <v/>
      </c>
      <c r="P25" s="9"/>
    </row>
    <row r="26" customFormat="false" ht="15" hidden="false" customHeight="true" outlineLevel="0" collapsed="false">
      <c r="A26" s="3" t="n">
        <v>25</v>
      </c>
      <c r="B26" s="4"/>
      <c r="C26" s="4"/>
      <c r="D26" s="4"/>
      <c r="E26" s="4"/>
      <c r="F26" s="4"/>
      <c r="G26" s="5"/>
      <c r="H26" s="5"/>
      <c r="I26" s="6" t="str">
        <f aca="false">IF(AND(F26&lt;&gt;"",G26&lt;&gt;"",H26&lt;&gt;""),IF(F26="yes",G26-H26,IF(F26="no",(1-G26)-(1-H26),"")),"")</f>
        <v/>
      </c>
      <c r="J26" s="6" t="str">
        <f aca="false">IF(AND(I26&lt;&gt;"",I26&gt;0,H26&lt;&gt;"",H26&lt;1),I26/(1-H26)*0.25,"")</f>
        <v/>
      </c>
      <c r="K26" s="4"/>
      <c r="L26" s="4"/>
      <c r="M26" s="4"/>
      <c r="N26" s="7" t="str">
        <f aca="false">IF(AND(M26&lt;&gt;"",F26&lt;&gt;"",H26&lt;&gt;"",K26&lt;&gt;""),IF(M26="win",(1-IF(F26="yes",H26,1-H26))*K26,IF(M26="loss",-IF(F26="yes",H26,1-H26)*K26,"")),"")</f>
        <v/>
      </c>
      <c r="O26" s="7" t="str">
        <f aca="false">IF(N26&lt;&gt;"",IF(O25&lt;&gt;"",O25,0)+N26,IF(O25&lt;&gt;"",O25,""))</f>
        <v/>
      </c>
      <c r="P26" s="4"/>
    </row>
    <row r="27" customFormat="false" ht="15" hidden="false" customHeight="true" outlineLevel="0" collapsed="false">
      <c r="A27" s="8" t="n">
        <v>26</v>
      </c>
      <c r="B27" s="9"/>
      <c r="C27" s="9"/>
      <c r="D27" s="9"/>
      <c r="E27" s="9"/>
      <c r="F27" s="9"/>
      <c r="G27" s="10"/>
      <c r="H27" s="10"/>
      <c r="I27" s="11" t="str">
        <f aca="false">IF(AND(F27&lt;&gt;"",G27&lt;&gt;"",H27&lt;&gt;""),IF(F27="yes",G27-H27,IF(F27="no",(1-G27)-(1-H27),"")),"")</f>
        <v/>
      </c>
      <c r="J27" s="11" t="str">
        <f aca="false">IF(AND(I27&lt;&gt;"",I27&gt;0,H27&lt;&gt;"",H27&lt;1),I27/(1-H27)*0.25,"")</f>
        <v/>
      </c>
      <c r="K27" s="9"/>
      <c r="L27" s="9"/>
      <c r="M27" s="9"/>
      <c r="N27" s="12" t="str">
        <f aca="false">IF(AND(M27&lt;&gt;"",F27&lt;&gt;"",H27&lt;&gt;"",K27&lt;&gt;""),IF(M27="win",(1-IF(F27="yes",H27,1-H27))*K27,IF(M27="loss",-IF(F27="yes",H27,1-H27)*K27,"")),"")</f>
        <v/>
      </c>
      <c r="O27" s="12" t="str">
        <f aca="false">IF(N27&lt;&gt;"",IF(O26&lt;&gt;"",O26,0)+N27,IF(O26&lt;&gt;"",O26,""))</f>
        <v/>
      </c>
      <c r="P27" s="9"/>
    </row>
    <row r="28" customFormat="false" ht="15" hidden="false" customHeight="true" outlineLevel="0" collapsed="false">
      <c r="A28" s="3" t="n">
        <v>27</v>
      </c>
      <c r="B28" s="4"/>
      <c r="C28" s="4"/>
      <c r="D28" s="4"/>
      <c r="E28" s="4"/>
      <c r="F28" s="4"/>
      <c r="G28" s="5"/>
      <c r="H28" s="5"/>
      <c r="I28" s="6" t="str">
        <f aca="false">IF(AND(F28&lt;&gt;"",G28&lt;&gt;"",H28&lt;&gt;""),IF(F28="yes",G28-H28,IF(F28="no",(1-G28)-(1-H28),"")),"")</f>
        <v/>
      </c>
      <c r="J28" s="6" t="str">
        <f aca="false">IF(AND(I28&lt;&gt;"",I28&gt;0,H28&lt;&gt;"",H28&lt;1),I28/(1-H28)*0.25,"")</f>
        <v/>
      </c>
      <c r="K28" s="4"/>
      <c r="L28" s="4"/>
      <c r="M28" s="4"/>
      <c r="N28" s="7" t="str">
        <f aca="false">IF(AND(M28&lt;&gt;"",F28&lt;&gt;"",H28&lt;&gt;"",K28&lt;&gt;""),IF(M28="win",(1-IF(F28="yes",H28,1-H28))*K28,IF(M28="loss",-IF(F28="yes",H28,1-H28)*K28,"")),"")</f>
        <v/>
      </c>
      <c r="O28" s="7" t="str">
        <f aca="false">IF(N28&lt;&gt;"",IF(O27&lt;&gt;"",O27,0)+N28,IF(O27&lt;&gt;"",O27,""))</f>
        <v/>
      </c>
      <c r="P28" s="4"/>
    </row>
    <row r="29" customFormat="false" ht="15" hidden="false" customHeight="true" outlineLevel="0" collapsed="false">
      <c r="A29" s="8" t="n">
        <v>28</v>
      </c>
      <c r="B29" s="9"/>
      <c r="C29" s="9"/>
      <c r="D29" s="9"/>
      <c r="E29" s="9"/>
      <c r="F29" s="9"/>
      <c r="G29" s="10"/>
      <c r="H29" s="10"/>
      <c r="I29" s="11" t="str">
        <f aca="false">IF(AND(F29&lt;&gt;"",G29&lt;&gt;"",H29&lt;&gt;""),IF(F29="yes",G29-H29,IF(F29="no",(1-G29)-(1-H29),"")),"")</f>
        <v/>
      </c>
      <c r="J29" s="11" t="str">
        <f aca="false">IF(AND(I29&lt;&gt;"",I29&gt;0,H29&lt;&gt;"",H29&lt;1),I29/(1-H29)*0.25,"")</f>
        <v/>
      </c>
      <c r="K29" s="9"/>
      <c r="L29" s="9"/>
      <c r="M29" s="9"/>
      <c r="N29" s="12" t="str">
        <f aca="false">IF(AND(M29&lt;&gt;"",F29&lt;&gt;"",H29&lt;&gt;"",K29&lt;&gt;""),IF(M29="win",(1-IF(F29="yes",H29,1-H29))*K29,IF(M29="loss",-IF(F29="yes",H29,1-H29)*K29,"")),"")</f>
        <v/>
      </c>
      <c r="O29" s="12" t="str">
        <f aca="false">IF(N29&lt;&gt;"",IF(O28&lt;&gt;"",O28,0)+N29,IF(O28&lt;&gt;"",O28,""))</f>
        <v/>
      </c>
      <c r="P29" s="9"/>
    </row>
    <row r="30" customFormat="false" ht="15" hidden="false" customHeight="true" outlineLevel="0" collapsed="false">
      <c r="A30" s="3" t="n">
        <v>29</v>
      </c>
      <c r="B30" s="4"/>
      <c r="C30" s="4"/>
      <c r="D30" s="4"/>
      <c r="E30" s="4"/>
      <c r="F30" s="4"/>
      <c r="G30" s="5"/>
      <c r="H30" s="5"/>
      <c r="I30" s="6" t="str">
        <f aca="false">IF(AND(F30&lt;&gt;"",G30&lt;&gt;"",H30&lt;&gt;""),IF(F30="yes",G30-H30,IF(F30="no",(1-G30)-(1-H30),"")),"")</f>
        <v/>
      </c>
      <c r="J30" s="6" t="str">
        <f aca="false">IF(AND(I30&lt;&gt;"",I30&gt;0,H30&lt;&gt;"",H30&lt;1),I30/(1-H30)*0.25,"")</f>
        <v/>
      </c>
      <c r="K30" s="4"/>
      <c r="L30" s="4"/>
      <c r="M30" s="4"/>
      <c r="N30" s="7" t="str">
        <f aca="false">IF(AND(M30&lt;&gt;"",F30&lt;&gt;"",H30&lt;&gt;"",K30&lt;&gt;""),IF(M30="win",(1-IF(F30="yes",H30,1-H30))*K30,IF(M30="loss",-IF(F30="yes",H30,1-H30)*K30,"")),"")</f>
        <v/>
      </c>
      <c r="O30" s="7" t="str">
        <f aca="false">IF(N30&lt;&gt;"",IF(O29&lt;&gt;"",O29,0)+N30,IF(O29&lt;&gt;"",O29,""))</f>
        <v/>
      </c>
      <c r="P30" s="4"/>
    </row>
    <row r="31" customFormat="false" ht="15" hidden="false" customHeight="true" outlineLevel="0" collapsed="false">
      <c r="A31" s="8" t="n">
        <v>30</v>
      </c>
      <c r="B31" s="9"/>
      <c r="C31" s="9"/>
      <c r="D31" s="9"/>
      <c r="E31" s="9"/>
      <c r="F31" s="9"/>
      <c r="G31" s="10"/>
      <c r="H31" s="10"/>
      <c r="I31" s="11" t="str">
        <f aca="false">IF(AND(F31&lt;&gt;"",G31&lt;&gt;"",H31&lt;&gt;""),IF(F31="yes",G31-H31,IF(F31="no",(1-G31)-(1-H31),"")),"")</f>
        <v/>
      </c>
      <c r="J31" s="11" t="str">
        <f aca="false">IF(AND(I31&lt;&gt;"",I31&gt;0,H31&lt;&gt;"",H31&lt;1),I31/(1-H31)*0.25,"")</f>
        <v/>
      </c>
      <c r="K31" s="9"/>
      <c r="L31" s="9"/>
      <c r="M31" s="9"/>
      <c r="N31" s="12" t="str">
        <f aca="false">IF(AND(M31&lt;&gt;"",F31&lt;&gt;"",H31&lt;&gt;"",K31&lt;&gt;""),IF(M31="win",(1-IF(F31="yes",H31,1-H31))*K31,IF(M31="loss",-IF(F31="yes",H31,1-H31)*K31,"")),"")</f>
        <v/>
      </c>
      <c r="O31" s="12" t="str">
        <f aca="false">IF(N31&lt;&gt;"",IF(O30&lt;&gt;"",O30,0)+N31,IF(O30&lt;&gt;"",O30,""))</f>
        <v/>
      </c>
      <c r="P31" s="9"/>
    </row>
    <row r="32" customFormat="false" ht="15" hidden="false" customHeight="true" outlineLevel="0" collapsed="false">
      <c r="A32" s="3" t="n">
        <v>31</v>
      </c>
      <c r="B32" s="4"/>
      <c r="C32" s="4"/>
      <c r="D32" s="4"/>
      <c r="E32" s="4"/>
      <c r="F32" s="4"/>
      <c r="G32" s="5"/>
      <c r="H32" s="5"/>
      <c r="I32" s="6" t="str">
        <f aca="false">IF(AND(F32&lt;&gt;"",G32&lt;&gt;"",H32&lt;&gt;""),IF(F32="yes",G32-H32,IF(F32="no",(1-G32)-(1-H32),"")),"")</f>
        <v/>
      </c>
      <c r="J32" s="6" t="str">
        <f aca="false">IF(AND(I32&lt;&gt;"",I32&gt;0,H32&lt;&gt;"",H32&lt;1),I32/(1-H32)*0.25,"")</f>
        <v/>
      </c>
      <c r="K32" s="4"/>
      <c r="L32" s="4"/>
      <c r="M32" s="4"/>
      <c r="N32" s="7" t="str">
        <f aca="false">IF(AND(M32&lt;&gt;"",F32&lt;&gt;"",H32&lt;&gt;"",K32&lt;&gt;""),IF(M32="win",(1-IF(F32="yes",H32,1-H32))*K32,IF(M32="loss",-IF(F32="yes",H32,1-H32)*K32,"")),"")</f>
        <v/>
      </c>
      <c r="O32" s="7" t="str">
        <f aca="false">IF(N32&lt;&gt;"",IF(O31&lt;&gt;"",O31,0)+N32,IF(O31&lt;&gt;"",O31,""))</f>
        <v/>
      </c>
      <c r="P32" s="4"/>
    </row>
    <row r="33" customFormat="false" ht="15" hidden="false" customHeight="true" outlineLevel="0" collapsed="false">
      <c r="A33" s="8" t="n">
        <v>32</v>
      </c>
      <c r="B33" s="9"/>
      <c r="C33" s="9"/>
      <c r="D33" s="9"/>
      <c r="E33" s="9"/>
      <c r="F33" s="9"/>
      <c r="G33" s="10"/>
      <c r="H33" s="10"/>
      <c r="I33" s="11" t="str">
        <f aca="false">IF(AND(F33&lt;&gt;"",G33&lt;&gt;"",H33&lt;&gt;""),IF(F33="yes",G33-H33,IF(F33="no",(1-G33)-(1-H33),"")),"")</f>
        <v/>
      </c>
      <c r="J33" s="11" t="str">
        <f aca="false">IF(AND(I33&lt;&gt;"",I33&gt;0,H33&lt;&gt;"",H33&lt;1),I33/(1-H33)*0.25,"")</f>
        <v/>
      </c>
      <c r="K33" s="9"/>
      <c r="L33" s="9"/>
      <c r="M33" s="9"/>
      <c r="N33" s="12" t="str">
        <f aca="false">IF(AND(M33&lt;&gt;"",F33&lt;&gt;"",H33&lt;&gt;"",K33&lt;&gt;""),IF(M33="win",(1-IF(F33="yes",H33,1-H33))*K33,IF(M33="loss",-IF(F33="yes",H33,1-H33)*K33,"")),"")</f>
        <v/>
      </c>
      <c r="O33" s="12" t="str">
        <f aca="false">IF(N33&lt;&gt;"",IF(O32&lt;&gt;"",O32,0)+N33,IF(O32&lt;&gt;"",O32,""))</f>
        <v/>
      </c>
      <c r="P33" s="9"/>
    </row>
    <row r="34" customFormat="false" ht="15" hidden="false" customHeight="true" outlineLevel="0" collapsed="false">
      <c r="A34" s="3" t="n">
        <v>33</v>
      </c>
      <c r="B34" s="4"/>
      <c r="C34" s="4"/>
      <c r="D34" s="4"/>
      <c r="E34" s="4"/>
      <c r="F34" s="4"/>
      <c r="G34" s="5"/>
      <c r="H34" s="5"/>
      <c r="I34" s="6" t="str">
        <f aca="false">IF(AND(F34&lt;&gt;"",G34&lt;&gt;"",H34&lt;&gt;""),IF(F34="yes",G34-H34,IF(F34="no",(1-G34)-(1-H34),"")),"")</f>
        <v/>
      </c>
      <c r="J34" s="6" t="str">
        <f aca="false">IF(AND(I34&lt;&gt;"",I34&gt;0,H34&lt;&gt;"",H34&lt;1),I34/(1-H34)*0.25,"")</f>
        <v/>
      </c>
      <c r="K34" s="4"/>
      <c r="L34" s="4"/>
      <c r="M34" s="4"/>
      <c r="N34" s="7" t="str">
        <f aca="false">IF(AND(M34&lt;&gt;"",F34&lt;&gt;"",H34&lt;&gt;"",K34&lt;&gt;""),IF(M34="win",(1-IF(F34="yes",H34,1-H34))*K34,IF(M34="loss",-IF(F34="yes",H34,1-H34)*K34,"")),"")</f>
        <v/>
      </c>
      <c r="O34" s="7" t="str">
        <f aca="false">IF(N34&lt;&gt;"",IF(O33&lt;&gt;"",O33,0)+N34,IF(O33&lt;&gt;"",O33,""))</f>
        <v/>
      </c>
      <c r="P34" s="4"/>
    </row>
    <row r="35" customFormat="false" ht="15" hidden="false" customHeight="true" outlineLevel="0" collapsed="false">
      <c r="A35" s="8" t="n">
        <v>34</v>
      </c>
      <c r="B35" s="9"/>
      <c r="C35" s="9"/>
      <c r="D35" s="9"/>
      <c r="E35" s="9"/>
      <c r="F35" s="9"/>
      <c r="G35" s="10"/>
      <c r="H35" s="10"/>
      <c r="I35" s="11" t="str">
        <f aca="false">IF(AND(F35&lt;&gt;"",G35&lt;&gt;"",H35&lt;&gt;""),IF(F35="yes",G35-H35,IF(F35="no",(1-G35)-(1-H35),"")),"")</f>
        <v/>
      </c>
      <c r="J35" s="11" t="str">
        <f aca="false">IF(AND(I35&lt;&gt;"",I35&gt;0,H35&lt;&gt;"",H35&lt;1),I35/(1-H35)*0.25,"")</f>
        <v/>
      </c>
      <c r="K35" s="9"/>
      <c r="L35" s="9"/>
      <c r="M35" s="9"/>
      <c r="N35" s="12" t="str">
        <f aca="false">IF(AND(M35&lt;&gt;"",F35&lt;&gt;"",H35&lt;&gt;"",K35&lt;&gt;""),IF(M35="win",(1-IF(F35="yes",H35,1-H35))*K35,IF(M35="loss",-IF(F35="yes",H35,1-H35)*K35,"")),"")</f>
        <v/>
      </c>
      <c r="O35" s="12" t="str">
        <f aca="false">IF(N35&lt;&gt;"",IF(O34&lt;&gt;"",O34,0)+N35,IF(O34&lt;&gt;"",O34,""))</f>
        <v/>
      </c>
      <c r="P35" s="9"/>
    </row>
    <row r="36" customFormat="false" ht="15" hidden="false" customHeight="true" outlineLevel="0" collapsed="false">
      <c r="A36" s="3" t="n">
        <v>35</v>
      </c>
      <c r="B36" s="4"/>
      <c r="C36" s="4"/>
      <c r="D36" s="4"/>
      <c r="E36" s="4"/>
      <c r="F36" s="4"/>
      <c r="G36" s="5"/>
      <c r="H36" s="5"/>
      <c r="I36" s="6" t="str">
        <f aca="false">IF(AND(F36&lt;&gt;"",G36&lt;&gt;"",H36&lt;&gt;""),IF(F36="yes",G36-H36,IF(F36="no",(1-G36)-(1-H36),"")),"")</f>
        <v/>
      </c>
      <c r="J36" s="6" t="str">
        <f aca="false">IF(AND(I36&lt;&gt;"",I36&gt;0,H36&lt;&gt;"",H36&lt;1),I36/(1-H36)*0.25,"")</f>
        <v/>
      </c>
      <c r="K36" s="4"/>
      <c r="L36" s="4"/>
      <c r="M36" s="4"/>
      <c r="N36" s="7" t="str">
        <f aca="false">IF(AND(M36&lt;&gt;"",F36&lt;&gt;"",H36&lt;&gt;"",K36&lt;&gt;""),IF(M36="win",(1-IF(F36="yes",H36,1-H36))*K36,IF(M36="loss",-IF(F36="yes",H36,1-H36)*K36,"")),"")</f>
        <v/>
      </c>
      <c r="O36" s="7" t="str">
        <f aca="false">IF(N36&lt;&gt;"",IF(O35&lt;&gt;"",O35,0)+N36,IF(O35&lt;&gt;"",O35,""))</f>
        <v/>
      </c>
      <c r="P36" s="4"/>
    </row>
    <row r="37" customFormat="false" ht="15" hidden="false" customHeight="true" outlineLevel="0" collapsed="false">
      <c r="A37" s="8" t="n">
        <v>36</v>
      </c>
      <c r="B37" s="9"/>
      <c r="C37" s="9"/>
      <c r="D37" s="9"/>
      <c r="E37" s="9"/>
      <c r="F37" s="9"/>
      <c r="G37" s="10"/>
      <c r="H37" s="10"/>
      <c r="I37" s="11" t="str">
        <f aca="false">IF(AND(F37&lt;&gt;"",G37&lt;&gt;"",H37&lt;&gt;""),IF(F37="yes",G37-H37,IF(F37="no",(1-G37)-(1-H37),"")),"")</f>
        <v/>
      </c>
      <c r="J37" s="11" t="str">
        <f aca="false">IF(AND(I37&lt;&gt;"",I37&gt;0,H37&lt;&gt;"",H37&lt;1),I37/(1-H37)*0.25,"")</f>
        <v/>
      </c>
      <c r="K37" s="9"/>
      <c r="L37" s="9"/>
      <c r="M37" s="9"/>
      <c r="N37" s="12" t="str">
        <f aca="false">IF(AND(M37&lt;&gt;"",F37&lt;&gt;"",H37&lt;&gt;"",K37&lt;&gt;""),IF(M37="win",(1-IF(F37="yes",H37,1-H37))*K37,IF(M37="loss",-IF(F37="yes",H37,1-H37)*K37,"")),"")</f>
        <v/>
      </c>
      <c r="O37" s="12" t="str">
        <f aca="false">IF(N37&lt;&gt;"",IF(O36&lt;&gt;"",O36,0)+N37,IF(O36&lt;&gt;"",O36,""))</f>
        <v/>
      </c>
      <c r="P37" s="9"/>
    </row>
    <row r="38" customFormat="false" ht="15" hidden="false" customHeight="true" outlineLevel="0" collapsed="false">
      <c r="A38" s="3" t="n">
        <v>37</v>
      </c>
      <c r="B38" s="4"/>
      <c r="C38" s="4"/>
      <c r="D38" s="4"/>
      <c r="E38" s="4"/>
      <c r="F38" s="4"/>
      <c r="G38" s="5"/>
      <c r="H38" s="5"/>
      <c r="I38" s="6" t="str">
        <f aca="false">IF(AND(F38&lt;&gt;"",G38&lt;&gt;"",H38&lt;&gt;""),IF(F38="yes",G38-H38,IF(F38="no",(1-G38)-(1-H38),"")),"")</f>
        <v/>
      </c>
      <c r="J38" s="6" t="str">
        <f aca="false">IF(AND(I38&lt;&gt;"",I38&gt;0,H38&lt;&gt;"",H38&lt;1),I38/(1-H38)*0.25,"")</f>
        <v/>
      </c>
      <c r="K38" s="4"/>
      <c r="L38" s="4"/>
      <c r="M38" s="4"/>
      <c r="N38" s="7" t="str">
        <f aca="false">IF(AND(M38&lt;&gt;"",F38&lt;&gt;"",H38&lt;&gt;"",K38&lt;&gt;""),IF(M38="win",(1-IF(F38="yes",H38,1-H38))*K38,IF(M38="loss",-IF(F38="yes",H38,1-H38)*K38,"")),"")</f>
        <v/>
      </c>
      <c r="O38" s="7" t="str">
        <f aca="false">IF(N38&lt;&gt;"",IF(O37&lt;&gt;"",O37,0)+N38,IF(O37&lt;&gt;"",O37,""))</f>
        <v/>
      </c>
      <c r="P38" s="4"/>
    </row>
    <row r="39" customFormat="false" ht="15" hidden="false" customHeight="true" outlineLevel="0" collapsed="false">
      <c r="A39" s="8" t="n">
        <v>38</v>
      </c>
      <c r="B39" s="9"/>
      <c r="C39" s="9"/>
      <c r="D39" s="9"/>
      <c r="E39" s="9"/>
      <c r="F39" s="9"/>
      <c r="G39" s="10"/>
      <c r="H39" s="10"/>
      <c r="I39" s="11" t="str">
        <f aca="false">IF(AND(F39&lt;&gt;"",G39&lt;&gt;"",H39&lt;&gt;""),IF(F39="yes",G39-H39,IF(F39="no",(1-G39)-(1-H39),"")),"")</f>
        <v/>
      </c>
      <c r="J39" s="11" t="str">
        <f aca="false">IF(AND(I39&lt;&gt;"",I39&gt;0,H39&lt;&gt;"",H39&lt;1),I39/(1-H39)*0.25,"")</f>
        <v/>
      </c>
      <c r="K39" s="9"/>
      <c r="L39" s="9"/>
      <c r="M39" s="9"/>
      <c r="N39" s="12" t="str">
        <f aca="false">IF(AND(M39&lt;&gt;"",F39&lt;&gt;"",H39&lt;&gt;"",K39&lt;&gt;""),IF(M39="win",(1-IF(F39="yes",H39,1-H39))*K39,IF(M39="loss",-IF(F39="yes",H39,1-H39)*K39,"")),"")</f>
        <v/>
      </c>
      <c r="O39" s="12" t="str">
        <f aca="false">IF(N39&lt;&gt;"",IF(O38&lt;&gt;"",O38,0)+N39,IF(O38&lt;&gt;"",O38,""))</f>
        <v/>
      </c>
      <c r="P39" s="9"/>
    </row>
    <row r="40" customFormat="false" ht="15" hidden="false" customHeight="true" outlineLevel="0" collapsed="false">
      <c r="A40" s="3" t="n">
        <v>39</v>
      </c>
      <c r="B40" s="4"/>
      <c r="C40" s="4"/>
      <c r="D40" s="4"/>
      <c r="E40" s="4"/>
      <c r="F40" s="4"/>
      <c r="G40" s="5"/>
      <c r="H40" s="5"/>
      <c r="I40" s="6" t="str">
        <f aca="false">IF(AND(F40&lt;&gt;"",G40&lt;&gt;"",H40&lt;&gt;""),IF(F40="yes",G40-H40,IF(F40="no",(1-G40)-(1-H40),"")),"")</f>
        <v/>
      </c>
      <c r="J40" s="6" t="str">
        <f aca="false">IF(AND(I40&lt;&gt;"",I40&gt;0,H40&lt;&gt;"",H40&lt;1),I40/(1-H40)*0.25,"")</f>
        <v/>
      </c>
      <c r="K40" s="4"/>
      <c r="L40" s="4"/>
      <c r="M40" s="4"/>
      <c r="N40" s="7" t="str">
        <f aca="false">IF(AND(M40&lt;&gt;"",F40&lt;&gt;"",H40&lt;&gt;"",K40&lt;&gt;""),IF(M40="win",(1-IF(F40="yes",H40,1-H40))*K40,IF(M40="loss",-IF(F40="yes",H40,1-H40)*K40,"")),"")</f>
        <v/>
      </c>
      <c r="O40" s="7" t="str">
        <f aca="false">IF(N40&lt;&gt;"",IF(O39&lt;&gt;"",O39,0)+N40,IF(O39&lt;&gt;"",O39,""))</f>
        <v/>
      </c>
      <c r="P40" s="4"/>
    </row>
    <row r="41" customFormat="false" ht="15" hidden="false" customHeight="true" outlineLevel="0" collapsed="false">
      <c r="A41" s="8" t="n">
        <v>40</v>
      </c>
      <c r="B41" s="9"/>
      <c r="C41" s="9"/>
      <c r="D41" s="9"/>
      <c r="E41" s="9"/>
      <c r="F41" s="9"/>
      <c r="G41" s="10"/>
      <c r="H41" s="10"/>
      <c r="I41" s="11" t="str">
        <f aca="false">IF(AND(F41&lt;&gt;"",G41&lt;&gt;"",H41&lt;&gt;""),IF(F41="yes",G41-H41,IF(F41="no",(1-G41)-(1-H41),"")),"")</f>
        <v/>
      </c>
      <c r="J41" s="11" t="str">
        <f aca="false">IF(AND(I41&lt;&gt;"",I41&gt;0,H41&lt;&gt;"",H41&lt;1),I41/(1-H41)*0.25,"")</f>
        <v/>
      </c>
      <c r="K41" s="9"/>
      <c r="L41" s="9"/>
      <c r="M41" s="9"/>
      <c r="N41" s="12" t="str">
        <f aca="false">IF(AND(M41&lt;&gt;"",F41&lt;&gt;"",H41&lt;&gt;"",K41&lt;&gt;""),IF(M41="win",(1-IF(F41="yes",H41,1-H41))*K41,IF(M41="loss",-IF(F41="yes",H41,1-H41)*K41,"")),"")</f>
        <v/>
      </c>
      <c r="O41" s="12" t="str">
        <f aca="false">IF(N41&lt;&gt;"",IF(O40&lt;&gt;"",O40,0)+N41,IF(O40&lt;&gt;"",O40,""))</f>
        <v/>
      </c>
      <c r="P41" s="9"/>
    </row>
    <row r="42" customFormat="false" ht="15" hidden="false" customHeight="true" outlineLevel="0" collapsed="false">
      <c r="A42" s="3" t="n">
        <v>41</v>
      </c>
      <c r="B42" s="4"/>
      <c r="C42" s="4"/>
      <c r="D42" s="4"/>
      <c r="E42" s="4"/>
      <c r="F42" s="4"/>
      <c r="G42" s="5"/>
      <c r="H42" s="5"/>
      <c r="I42" s="6" t="str">
        <f aca="false">IF(AND(F42&lt;&gt;"",G42&lt;&gt;"",H42&lt;&gt;""),IF(F42="yes",G42-H42,IF(F42="no",(1-G42)-(1-H42),"")),"")</f>
        <v/>
      </c>
      <c r="J42" s="6" t="str">
        <f aca="false">IF(AND(I42&lt;&gt;"",I42&gt;0,H42&lt;&gt;"",H42&lt;1),I42/(1-H42)*0.25,"")</f>
        <v/>
      </c>
      <c r="K42" s="4"/>
      <c r="L42" s="4"/>
      <c r="M42" s="4"/>
      <c r="N42" s="7" t="str">
        <f aca="false">IF(AND(M42&lt;&gt;"",F42&lt;&gt;"",H42&lt;&gt;"",K42&lt;&gt;""),IF(M42="win",(1-IF(F42="yes",H42,1-H42))*K42,IF(M42="loss",-IF(F42="yes",H42,1-H42)*K42,"")),"")</f>
        <v/>
      </c>
      <c r="O42" s="7" t="str">
        <f aca="false">IF(N42&lt;&gt;"",IF(O41&lt;&gt;"",O41,0)+N42,IF(O41&lt;&gt;"",O41,""))</f>
        <v/>
      </c>
      <c r="P42" s="4"/>
    </row>
    <row r="43" customFormat="false" ht="15" hidden="false" customHeight="true" outlineLevel="0" collapsed="false">
      <c r="A43" s="8" t="n">
        <v>42</v>
      </c>
      <c r="B43" s="9"/>
      <c r="C43" s="9"/>
      <c r="D43" s="9"/>
      <c r="E43" s="9"/>
      <c r="F43" s="9"/>
      <c r="G43" s="10"/>
      <c r="H43" s="10"/>
      <c r="I43" s="11" t="str">
        <f aca="false">IF(AND(F43&lt;&gt;"",G43&lt;&gt;"",H43&lt;&gt;""),IF(F43="yes",G43-H43,IF(F43="no",(1-G43)-(1-H43),"")),"")</f>
        <v/>
      </c>
      <c r="J43" s="11" t="str">
        <f aca="false">IF(AND(I43&lt;&gt;"",I43&gt;0,H43&lt;&gt;"",H43&lt;1),I43/(1-H43)*0.25,"")</f>
        <v/>
      </c>
      <c r="K43" s="9"/>
      <c r="L43" s="9"/>
      <c r="M43" s="9"/>
      <c r="N43" s="12" t="str">
        <f aca="false">IF(AND(M43&lt;&gt;"",F43&lt;&gt;"",H43&lt;&gt;"",K43&lt;&gt;""),IF(M43="win",(1-IF(F43="yes",H43,1-H43))*K43,IF(M43="loss",-IF(F43="yes",H43,1-H43)*K43,"")),"")</f>
        <v/>
      </c>
      <c r="O43" s="12" t="str">
        <f aca="false">IF(N43&lt;&gt;"",IF(O42&lt;&gt;"",O42,0)+N43,IF(O42&lt;&gt;"",O42,""))</f>
        <v/>
      </c>
      <c r="P43" s="9"/>
    </row>
    <row r="44" customFormat="false" ht="15" hidden="false" customHeight="true" outlineLevel="0" collapsed="false">
      <c r="A44" s="3" t="n">
        <v>43</v>
      </c>
      <c r="B44" s="4"/>
      <c r="C44" s="4"/>
      <c r="D44" s="4"/>
      <c r="E44" s="4"/>
      <c r="F44" s="4"/>
      <c r="G44" s="5"/>
      <c r="H44" s="5"/>
      <c r="I44" s="6" t="str">
        <f aca="false">IF(AND(F44&lt;&gt;"",G44&lt;&gt;"",H44&lt;&gt;""),IF(F44="yes",G44-H44,IF(F44="no",(1-G44)-(1-H44),"")),"")</f>
        <v/>
      </c>
      <c r="J44" s="6" t="str">
        <f aca="false">IF(AND(I44&lt;&gt;"",I44&gt;0,H44&lt;&gt;"",H44&lt;1),I44/(1-H44)*0.25,"")</f>
        <v/>
      </c>
      <c r="K44" s="4"/>
      <c r="L44" s="4"/>
      <c r="M44" s="4"/>
      <c r="N44" s="7" t="str">
        <f aca="false">IF(AND(M44&lt;&gt;"",F44&lt;&gt;"",H44&lt;&gt;"",K44&lt;&gt;""),IF(M44="win",(1-IF(F44="yes",H44,1-H44))*K44,IF(M44="loss",-IF(F44="yes",H44,1-H44)*K44,"")),"")</f>
        <v/>
      </c>
      <c r="O44" s="7" t="str">
        <f aca="false">IF(N44&lt;&gt;"",IF(O43&lt;&gt;"",O43,0)+N44,IF(O43&lt;&gt;"",O43,""))</f>
        <v/>
      </c>
      <c r="P44" s="4"/>
    </row>
    <row r="45" customFormat="false" ht="15" hidden="false" customHeight="true" outlineLevel="0" collapsed="false">
      <c r="A45" s="8" t="n">
        <v>44</v>
      </c>
      <c r="B45" s="9"/>
      <c r="C45" s="9"/>
      <c r="D45" s="9"/>
      <c r="E45" s="9"/>
      <c r="F45" s="9"/>
      <c r="G45" s="10"/>
      <c r="H45" s="10"/>
      <c r="I45" s="11" t="str">
        <f aca="false">IF(AND(F45&lt;&gt;"",G45&lt;&gt;"",H45&lt;&gt;""),IF(F45="yes",G45-H45,IF(F45="no",(1-G45)-(1-H45),"")),"")</f>
        <v/>
      </c>
      <c r="J45" s="11" t="str">
        <f aca="false">IF(AND(I45&lt;&gt;"",I45&gt;0,H45&lt;&gt;"",H45&lt;1),I45/(1-H45)*0.25,"")</f>
        <v/>
      </c>
      <c r="K45" s="9"/>
      <c r="L45" s="9"/>
      <c r="M45" s="9"/>
      <c r="N45" s="12" t="str">
        <f aca="false">IF(AND(M45&lt;&gt;"",F45&lt;&gt;"",H45&lt;&gt;"",K45&lt;&gt;""),IF(M45="win",(1-IF(F45="yes",H45,1-H45))*K45,IF(M45="loss",-IF(F45="yes",H45,1-H45)*K45,"")),"")</f>
        <v/>
      </c>
      <c r="O45" s="12" t="str">
        <f aca="false">IF(N45&lt;&gt;"",IF(O44&lt;&gt;"",O44,0)+N45,IF(O44&lt;&gt;"",O44,""))</f>
        <v/>
      </c>
      <c r="P45" s="9"/>
    </row>
    <row r="46" customFormat="false" ht="15" hidden="false" customHeight="true" outlineLevel="0" collapsed="false">
      <c r="A46" s="3" t="n">
        <v>45</v>
      </c>
      <c r="B46" s="4"/>
      <c r="C46" s="4"/>
      <c r="D46" s="4"/>
      <c r="E46" s="4"/>
      <c r="F46" s="4"/>
      <c r="G46" s="5"/>
      <c r="H46" s="5"/>
      <c r="I46" s="6" t="str">
        <f aca="false">IF(AND(F46&lt;&gt;"",G46&lt;&gt;"",H46&lt;&gt;""),IF(F46="yes",G46-H46,IF(F46="no",(1-G46)-(1-H46),"")),"")</f>
        <v/>
      </c>
      <c r="J46" s="6" t="str">
        <f aca="false">IF(AND(I46&lt;&gt;"",I46&gt;0,H46&lt;&gt;"",H46&lt;1),I46/(1-H46)*0.25,"")</f>
        <v/>
      </c>
      <c r="K46" s="4"/>
      <c r="L46" s="4"/>
      <c r="M46" s="4"/>
      <c r="N46" s="7" t="str">
        <f aca="false">IF(AND(M46&lt;&gt;"",F46&lt;&gt;"",H46&lt;&gt;"",K46&lt;&gt;""),IF(M46="win",(1-IF(F46="yes",H46,1-H46))*K46,IF(M46="loss",-IF(F46="yes",H46,1-H46)*K46,"")),"")</f>
        <v/>
      </c>
      <c r="O46" s="7" t="str">
        <f aca="false">IF(N46&lt;&gt;"",IF(O45&lt;&gt;"",O45,0)+N46,IF(O45&lt;&gt;"",O45,""))</f>
        <v/>
      </c>
      <c r="P46" s="4"/>
    </row>
    <row r="47" customFormat="false" ht="15" hidden="false" customHeight="true" outlineLevel="0" collapsed="false">
      <c r="A47" s="8" t="n">
        <v>46</v>
      </c>
      <c r="B47" s="9"/>
      <c r="C47" s="9"/>
      <c r="D47" s="9"/>
      <c r="E47" s="9"/>
      <c r="F47" s="9"/>
      <c r="G47" s="10"/>
      <c r="H47" s="10"/>
      <c r="I47" s="11" t="str">
        <f aca="false">IF(AND(F47&lt;&gt;"",G47&lt;&gt;"",H47&lt;&gt;""),IF(F47="yes",G47-H47,IF(F47="no",(1-G47)-(1-H47),"")),"")</f>
        <v/>
      </c>
      <c r="J47" s="11" t="str">
        <f aca="false">IF(AND(I47&lt;&gt;"",I47&gt;0,H47&lt;&gt;"",H47&lt;1),I47/(1-H47)*0.25,"")</f>
        <v/>
      </c>
      <c r="K47" s="9"/>
      <c r="L47" s="9"/>
      <c r="M47" s="9"/>
      <c r="N47" s="12" t="str">
        <f aca="false">IF(AND(M47&lt;&gt;"",F47&lt;&gt;"",H47&lt;&gt;"",K47&lt;&gt;""),IF(M47="win",(1-IF(F47="yes",H47,1-H47))*K47,IF(M47="loss",-IF(F47="yes",H47,1-H47)*K47,"")),"")</f>
        <v/>
      </c>
      <c r="O47" s="12" t="str">
        <f aca="false">IF(N47&lt;&gt;"",IF(O46&lt;&gt;"",O46,0)+N47,IF(O46&lt;&gt;"",O46,""))</f>
        <v/>
      </c>
      <c r="P47" s="9"/>
    </row>
    <row r="48" customFormat="false" ht="15" hidden="false" customHeight="true" outlineLevel="0" collapsed="false">
      <c r="A48" s="3" t="n">
        <v>47</v>
      </c>
      <c r="B48" s="4"/>
      <c r="C48" s="4"/>
      <c r="D48" s="4"/>
      <c r="E48" s="4"/>
      <c r="F48" s="4"/>
      <c r="G48" s="5"/>
      <c r="H48" s="5"/>
      <c r="I48" s="6" t="str">
        <f aca="false">IF(AND(F48&lt;&gt;"",G48&lt;&gt;"",H48&lt;&gt;""),IF(F48="yes",G48-H48,IF(F48="no",(1-G48)-(1-H48),"")),"")</f>
        <v/>
      </c>
      <c r="J48" s="6" t="str">
        <f aca="false">IF(AND(I48&lt;&gt;"",I48&gt;0,H48&lt;&gt;"",H48&lt;1),I48/(1-H48)*0.25,"")</f>
        <v/>
      </c>
      <c r="K48" s="4"/>
      <c r="L48" s="4"/>
      <c r="M48" s="4"/>
      <c r="N48" s="7" t="str">
        <f aca="false">IF(AND(M48&lt;&gt;"",F48&lt;&gt;"",H48&lt;&gt;"",K48&lt;&gt;""),IF(M48="win",(1-IF(F48="yes",H48,1-H48))*K48,IF(M48="loss",-IF(F48="yes",H48,1-H48)*K48,"")),"")</f>
        <v/>
      </c>
      <c r="O48" s="7" t="str">
        <f aca="false">IF(N48&lt;&gt;"",IF(O47&lt;&gt;"",O47,0)+N48,IF(O47&lt;&gt;"",O47,""))</f>
        <v/>
      </c>
      <c r="P48" s="4"/>
    </row>
    <row r="49" customFormat="false" ht="15" hidden="false" customHeight="true" outlineLevel="0" collapsed="false">
      <c r="A49" s="8" t="n">
        <v>48</v>
      </c>
      <c r="B49" s="9"/>
      <c r="C49" s="9"/>
      <c r="D49" s="9"/>
      <c r="E49" s="9"/>
      <c r="F49" s="9"/>
      <c r="G49" s="10"/>
      <c r="H49" s="10"/>
      <c r="I49" s="11" t="str">
        <f aca="false">IF(AND(F49&lt;&gt;"",G49&lt;&gt;"",H49&lt;&gt;""),IF(F49="yes",G49-H49,IF(F49="no",(1-G49)-(1-H49),"")),"")</f>
        <v/>
      </c>
      <c r="J49" s="11" t="str">
        <f aca="false">IF(AND(I49&lt;&gt;"",I49&gt;0,H49&lt;&gt;"",H49&lt;1),I49/(1-H49)*0.25,"")</f>
        <v/>
      </c>
      <c r="K49" s="9"/>
      <c r="L49" s="9"/>
      <c r="M49" s="9"/>
      <c r="N49" s="12" t="str">
        <f aca="false">IF(AND(M49&lt;&gt;"",F49&lt;&gt;"",H49&lt;&gt;"",K49&lt;&gt;""),IF(M49="win",(1-IF(F49="yes",H49,1-H49))*K49,IF(M49="loss",-IF(F49="yes",H49,1-H49)*K49,"")),"")</f>
        <v/>
      </c>
      <c r="O49" s="12" t="str">
        <f aca="false">IF(N49&lt;&gt;"",IF(O48&lt;&gt;"",O48,0)+N49,IF(O48&lt;&gt;"",O48,""))</f>
        <v/>
      </c>
      <c r="P49" s="9"/>
    </row>
    <row r="50" customFormat="false" ht="15" hidden="false" customHeight="true" outlineLevel="0" collapsed="false">
      <c r="A50" s="3" t="n">
        <v>49</v>
      </c>
      <c r="B50" s="4"/>
      <c r="C50" s="4"/>
      <c r="D50" s="4"/>
      <c r="E50" s="4"/>
      <c r="F50" s="4"/>
      <c r="G50" s="5"/>
      <c r="H50" s="5"/>
      <c r="I50" s="6" t="str">
        <f aca="false">IF(AND(F50&lt;&gt;"",G50&lt;&gt;"",H50&lt;&gt;""),IF(F50="yes",G50-H50,IF(F50="no",(1-G50)-(1-H50),"")),"")</f>
        <v/>
      </c>
      <c r="J50" s="6" t="str">
        <f aca="false">IF(AND(I50&lt;&gt;"",I50&gt;0,H50&lt;&gt;"",H50&lt;1),I50/(1-H50)*0.25,"")</f>
        <v/>
      </c>
      <c r="K50" s="4"/>
      <c r="L50" s="4"/>
      <c r="M50" s="4"/>
      <c r="N50" s="7" t="str">
        <f aca="false">IF(AND(M50&lt;&gt;"",F50&lt;&gt;"",H50&lt;&gt;"",K50&lt;&gt;""),IF(M50="win",(1-IF(F50="yes",H50,1-H50))*K50,IF(M50="loss",-IF(F50="yes",H50,1-H50)*K50,"")),"")</f>
        <v/>
      </c>
      <c r="O50" s="7" t="str">
        <f aca="false">IF(N50&lt;&gt;"",IF(O49&lt;&gt;"",O49,0)+N50,IF(O49&lt;&gt;"",O49,""))</f>
        <v/>
      </c>
      <c r="P50" s="4"/>
    </row>
    <row r="51" customFormat="false" ht="15" hidden="false" customHeight="true" outlineLevel="0" collapsed="false">
      <c r="A51" s="8" t="n">
        <v>50</v>
      </c>
      <c r="B51" s="9"/>
      <c r="C51" s="9"/>
      <c r="D51" s="9"/>
      <c r="E51" s="9"/>
      <c r="F51" s="9"/>
      <c r="G51" s="10"/>
      <c r="H51" s="10"/>
      <c r="I51" s="11" t="str">
        <f aca="false">IF(AND(F51&lt;&gt;"",G51&lt;&gt;"",H51&lt;&gt;""),IF(F51="yes",G51-H51,IF(F51="no",(1-G51)-(1-H51),"")),"")</f>
        <v/>
      </c>
      <c r="J51" s="11" t="str">
        <f aca="false">IF(AND(I51&lt;&gt;"",I51&gt;0,H51&lt;&gt;"",H51&lt;1),I51/(1-H51)*0.25,"")</f>
        <v/>
      </c>
      <c r="K51" s="9"/>
      <c r="L51" s="9"/>
      <c r="M51" s="9"/>
      <c r="N51" s="12" t="str">
        <f aca="false">IF(AND(M51&lt;&gt;"",F51&lt;&gt;"",H51&lt;&gt;"",K51&lt;&gt;""),IF(M51="win",(1-IF(F51="yes",H51,1-H51))*K51,IF(M51="loss",-IF(F51="yes",H51,1-H51)*K51,"")),"")</f>
        <v/>
      </c>
      <c r="O51" s="12" t="str">
        <f aca="false">IF(N51&lt;&gt;"",IF(O50&lt;&gt;"",O50,0)+N51,IF(O50&lt;&gt;"",O50,""))</f>
        <v/>
      </c>
      <c r="P51" s="9"/>
    </row>
    <row r="52" customFormat="false" ht="15" hidden="false" customHeight="true" outlineLevel="0" collapsed="false">
      <c r="A52" s="3" t="n">
        <v>51</v>
      </c>
      <c r="B52" s="4"/>
      <c r="C52" s="4"/>
      <c r="D52" s="4"/>
      <c r="E52" s="4"/>
      <c r="F52" s="4"/>
      <c r="G52" s="5"/>
      <c r="H52" s="5"/>
      <c r="I52" s="6" t="str">
        <f aca="false">IF(AND(F52&lt;&gt;"",G52&lt;&gt;"",H52&lt;&gt;""),IF(F52="yes",G52-H52,IF(F52="no",(1-G52)-(1-H52),"")),"")</f>
        <v/>
      </c>
      <c r="J52" s="6" t="str">
        <f aca="false">IF(AND(I52&lt;&gt;"",I52&gt;0,H52&lt;&gt;"",H52&lt;1),I52/(1-H52)*0.25,"")</f>
        <v/>
      </c>
      <c r="K52" s="4"/>
      <c r="L52" s="4"/>
      <c r="M52" s="4"/>
      <c r="N52" s="7" t="str">
        <f aca="false">IF(AND(M52&lt;&gt;"",F52&lt;&gt;"",H52&lt;&gt;"",K52&lt;&gt;""),IF(M52="win",(1-IF(F52="yes",H52,1-H52))*K52,IF(M52="loss",-IF(F52="yes",H52,1-H52)*K52,"")),"")</f>
        <v/>
      </c>
      <c r="O52" s="7" t="str">
        <f aca="false">IF(N52&lt;&gt;"",IF(O51&lt;&gt;"",O51,0)+N52,IF(O51&lt;&gt;"",O51,""))</f>
        <v/>
      </c>
      <c r="P52" s="4"/>
    </row>
    <row r="53" customFormat="false" ht="15" hidden="false" customHeight="true" outlineLevel="0" collapsed="false">
      <c r="A53" s="8" t="n">
        <v>52</v>
      </c>
      <c r="B53" s="9"/>
      <c r="C53" s="9"/>
      <c r="D53" s="9"/>
      <c r="E53" s="9"/>
      <c r="F53" s="9"/>
      <c r="G53" s="10"/>
      <c r="H53" s="10"/>
      <c r="I53" s="11" t="str">
        <f aca="false">IF(AND(F53&lt;&gt;"",G53&lt;&gt;"",H53&lt;&gt;""),IF(F53="yes",G53-H53,IF(F53="no",(1-G53)-(1-H53),"")),"")</f>
        <v/>
      </c>
      <c r="J53" s="11" t="str">
        <f aca="false">IF(AND(I53&lt;&gt;"",I53&gt;0,H53&lt;&gt;"",H53&lt;1),I53/(1-H53)*0.25,"")</f>
        <v/>
      </c>
      <c r="K53" s="9"/>
      <c r="L53" s="9"/>
      <c r="M53" s="9"/>
      <c r="N53" s="12" t="str">
        <f aca="false">IF(AND(M53&lt;&gt;"",F53&lt;&gt;"",H53&lt;&gt;"",K53&lt;&gt;""),IF(M53="win",(1-IF(F53="yes",H53,1-H53))*K53,IF(M53="loss",-IF(F53="yes",H53,1-H53)*K53,"")),"")</f>
        <v/>
      </c>
      <c r="O53" s="12" t="str">
        <f aca="false">IF(N53&lt;&gt;"",IF(O52&lt;&gt;"",O52,0)+N53,IF(O52&lt;&gt;"",O52,""))</f>
        <v/>
      </c>
      <c r="P53" s="9"/>
    </row>
    <row r="54" customFormat="false" ht="15" hidden="false" customHeight="true" outlineLevel="0" collapsed="false">
      <c r="A54" s="3" t="n">
        <v>53</v>
      </c>
      <c r="B54" s="4"/>
      <c r="C54" s="4"/>
      <c r="D54" s="4"/>
      <c r="E54" s="4"/>
      <c r="F54" s="4"/>
      <c r="G54" s="5"/>
      <c r="H54" s="5"/>
      <c r="I54" s="6" t="str">
        <f aca="false">IF(AND(F54&lt;&gt;"",G54&lt;&gt;"",H54&lt;&gt;""),IF(F54="yes",G54-H54,IF(F54="no",(1-G54)-(1-H54),"")),"")</f>
        <v/>
      </c>
      <c r="J54" s="6" t="str">
        <f aca="false">IF(AND(I54&lt;&gt;"",I54&gt;0,H54&lt;&gt;"",H54&lt;1),I54/(1-H54)*0.25,"")</f>
        <v/>
      </c>
      <c r="K54" s="4"/>
      <c r="L54" s="4"/>
      <c r="M54" s="4"/>
      <c r="N54" s="7" t="str">
        <f aca="false">IF(AND(M54&lt;&gt;"",F54&lt;&gt;"",H54&lt;&gt;"",K54&lt;&gt;""),IF(M54="win",(1-IF(F54="yes",H54,1-H54))*K54,IF(M54="loss",-IF(F54="yes",H54,1-H54)*K54,"")),"")</f>
        <v/>
      </c>
      <c r="O54" s="7" t="str">
        <f aca="false">IF(N54&lt;&gt;"",IF(O53&lt;&gt;"",O53,0)+N54,IF(O53&lt;&gt;"",O53,""))</f>
        <v/>
      </c>
      <c r="P54" s="4"/>
    </row>
    <row r="55" customFormat="false" ht="15" hidden="false" customHeight="true" outlineLevel="0" collapsed="false">
      <c r="A55" s="8" t="n">
        <v>54</v>
      </c>
      <c r="B55" s="9"/>
      <c r="C55" s="9"/>
      <c r="D55" s="9"/>
      <c r="E55" s="9"/>
      <c r="F55" s="9"/>
      <c r="G55" s="10"/>
      <c r="H55" s="10"/>
      <c r="I55" s="11" t="str">
        <f aca="false">IF(AND(F55&lt;&gt;"",G55&lt;&gt;"",H55&lt;&gt;""),IF(F55="yes",G55-H55,IF(F55="no",(1-G55)-(1-H55),"")),"")</f>
        <v/>
      </c>
      <c r="J55" s="11" t="str">
        <f aca="false">IF(AND(I55&lt;&gt;"",I55&gt;0,H55&lt;&gt;"",H55&lt;1),I55/(1-H55)*0.25,"")</f>
        <v/>
      </c>
      <c r="K55" s="9"/>
      <c r="L55" s="9"/>
      <c r="M55" s="9"/>
      <c r="N55" s="12" t="str">
        <f aca="false">IF(AND(M55&lt;&gt;"",F55&lt;&gt;"",H55&lt;&gt;"",K55&lt;&gt;""),IF(M55="win",(1-IF(F55="yes",H55,1-H55))*K55,IF(M55="loss",-IF(F55="yes",H55,1-H55)*K55,"")),"")</f>
        <v/>
      </c>
      <c r="O55" s="12" t="str">
        <f aca="false">IF(N55&lt;&gt;"",IF(O54&lt;&gt;"",O54,0)+N55,IF(O54&lt;&gt;"",O54,""))</f>
        <v/>
      </c>
      <c r="P55" s="9"/>
    </row>
    <row r="56" customFormat="false" ht="15" hidden="false" customHeight="true" outlineLevel="0" collapsed="false">
      <c r="A56" s="3" t="n">
        <v>55</v>
      </c>
      <c r="B56" s="4"/>
      <c r="C56" s="4"/>
      <c r="D56" s="4"/>
      <c r="E56" s="4"/>
      <c r="F56" s="4"/>
      <c r="G56" s="5"/>
      <c r="H56" s="5"/>
      <c r="I56" s="6" t="str">
        <f aca="false">IF(AND(F56&lt;&gt;"",G56&lt;&gt;"",H56&lt;&gt;""),IF(F56="yes",G56-H56,IF(F56="no",(1-G56)-(1-H56),"")),"")</f>
        <v/>
      </c>
      <c r="J56" s="6" t="str">
        <f aca="false">IF(AND(I56&lt;&gt;"",I56&gt;0,H56&lt;&gt;"",H56&lt;1),I56/(1-H56)*0.25,"")</f>
        <v/>
      </c>
      <c r="K56" s="4"/>
      <c r="L56" s="4"/>
      <c r="M56" s="4"/>
      <c r="N56" s="7" t="str">
        <f aca="false">IF(AND(M56&lt;&gt;"",F56&lt;&gt;"",H56&lt;&gt;"",K56&lt;&gt;""),IF(M56="win",(1-IF(F56="yes",H56,1-H56))*K56,IF(M56="loss",-IF(F56="yes",H56,1-H56)*K56,"")),"")</f>
        <v/>
      </c>
      <c r="O56" s="7" t="str">
        <f aca="false">IF(N56&lt;&gt;"",IF(O55&lt;&gt;"",O55,0)+N56,IF(O55&lt;&gt;"",O55,""))</f>
        <v/>
      </c>
      <c r="P56" s="4"/>
    </row>
    <row r="57" customFormat="false" ht="15" hidden="false" customHeight="true" outlineLevel="0" collapsed="false">
      <c r="A57" s="8" t="n">
        <v>56</v>
      </c>
      <c r="B57" s="9"/>
      <c r="C57" s="9"/>
      <c r="D57" s="9"/>
      <c r="E57" s="9"/>
      <c r="F57" s="9"/>
      <c r="G57" s="10"/>
      <c r="H57" s="10"/>
      <c r="I57" s="11" t="str">
        <f aca="false">IF(AND(F57&lt;&gt;"",G57&lt;&gt;"",H57&lt;&gt;""),IF(F57="yes",G57-H57,IF(F57="no",(1-G57)-(1-H57),"")),"")</f>
        <v/>
      </c>
      <c r="J57" s="11" t="str">
        <f aca="false">IF(AND(I57&lt;&gt;"",I57&gt;0,H57&lt;&gt;"",H57&lt;1),I57/(1-H57)*0.25,"")</f>
        <v/>
      </c>
      <c r="K57" s="9"/>
      <c r="L57" s="9"/>
      <c r="M57" s="9"/>
      <c r="N57" s="12" t="str">
        <f aca="false">IF(AND(M57&lt;&gt;"",F57&lt;&gt;"",H57&lt;&gt;"",K57&lt;&gt;""),IF(M57="win",(1-IF(F57="yes",H57,1-H57))*K57,IF(M57="loss",-IF(F57="yes",H57,1-H57)*K57,"")),"")</f>
        <v/>
      </c>
      <c r="O57" s="12" t="str">
        <f aca="false">IF(N57&lt;&gt;"",IF(O56&lt;&gt;"",O56,0)+N57,IF(O56&lt;&gt;"",O56,""))</f>
        <v/>
      </c>
      <c r="P57" s="9"/>
    </row>
    <row r="58" customFormat="false" ht="15" hidden="false" customHeight="true" outlineLevel="0" collapsed="false">
      <c r="A58" s="3" t="n">
        <v>57</v>
      </c>
      <c r="B58" s="4"/>
      <c r="C58" s="4"/>
      <c r="D58" s="4"/>
      <c r="E58" s="4"/>
      <c r="F58" s="4"/>
      <c r="G58" s="5"/>
      <c r="H58" s="5"/>
      <c r="I58" s="6" t="str">
        <f aca="false">IF(AND(F58&lt;&gt;"",G58&lt;&gt;"",H58&lt;&gt;""),IF(F58="yes",G58-H58,IF(F58="no",(1-G58)-(1-H58),"")),"")</f>
        <v/>
      </c>
      <c r="J58" s="6" t="str">
        <f aca="false">IF(AND(I58&lt;&gt;"",I58&gt;0,H58&lt;&gt;"",H58&lt;1),I58/(1-H58)*0.25,"")</f>
        <v/>
      </c>
      <c r="K58" s="4"/>
      <c r="L58" s="4"/>
      <c r="M58" s="4"/>
      <c r="N58" s="7" t="str">
        <f aca="false">IF(AND(M58&lt;&gt;"",F58&lt;&gt;"",H58&lt;&gt;"",K58&lt;&gt;""),IF(M58="win",(1-IF(F58="yes",H58,1-H58))*K58,IF(M58="loss",-IF(F58="yes",H58,1-H58)*K58,"")),"")</f>
        <v/>
      </c>
      <c r="O58" s="7" t="str">
        <f aca="false">IF(N58&lt;&gt;"",IF(O57&lt;&gt;"",O57,0)+N58,IF(O57&lt;&gt;"",O57,""))</f>
        <v/>
      </c>
      <c r="P58" s="4"/>
    </row>
    <row r="59" customFormat="false" ht="15" hidden="false" customHeight="true" outlineLevel="0" collapsed="false">
      <c r="A59" s="8" t="n">
        <v>58</v>
      </c>
      <c r="B59" s="9"/>
      <c r="C59" s="9"/>
      <c r="D59" s="9"/>
      <c r="E59" s="9"/>
      <c r="F59" s="9"/>
      <c r="G59" s="10"/>
      <c r="H59" s="10"/>
      <c r="I59" s="11" t="str">
        <f aca="false">IF(AND(F59&lt;&gt;"",G59&lt;&gt;"",H59&lt;&gt;""),IF(F59="yes",G59-H59,IF(F59="no",(1-G59)-(1-H59),"")),"")</f>
        <v/>
      </c>
      <c r="J59" s="11" t="str">
        <f aca="false">IF(AND(I59&lt;&gt;"",I59&gt;0,H59&lt;&gt;"",H59&lt;1),I59/(1-H59)*0.25,"")</f>
        <v/>
      </c>
      <c r="K59" s="9"/>
      <c r="L59" s="9"/>
      <c r="M59" s="9"/>
      <c r="N59" s="12" t="str">
        <f aca="false">IF(AND(M59&lt;&gt;"",F59&lt;&gt;"",H59&lt;&gt;"",K59&lt;&gt;""),IF(M59="win",(1-IF(F59="yes",H59,1-H59))*K59,IF(M59="loss",-IF(F59="yes",H59,1-H59)*K59,"")),"")</f>
        <v/>
      </c>
      <c r="O59" s="12" t="str">
        <f aca="false">IF(N59&lt;&gt;"",IF(O58&lt;&gt;"",O58,0)+N59,IF(O58&lt;&gt;"",O58,""))</f>
        <v/>
      </c>
      <c r="P59" s="9"/>
    </row>
    <row r="60" customFormat="false" ht="15" hidden="false" customHeight="true" outlineLevel="0" collapsed="false">
      <c r="A60" s="3" t="n">
        <v>59</v>
      </c>
      <c r="B60" s="4"/>
      <c r="C60" s="4"/>
      <c r="D60" s="4"/>
      <c r="E60" s="4"/>
      <c r="F60" s="4"/>
      <c r="G60" s="5"/>
      <c r="H60" s="5"/>
      <c r="I60" s="6" t="str">
        <f aca="false">IF(AND(F60&lt;&gt;"",G60&lt;&gt;"",H60&lt;&gt;""),IF(F60="yes",G60-H60,IF(F60="no",(1-G60)-(1-H60),"")),"")</f>
        <v/>
      </c>
      <c r="J60" s="6" t="str">
        <f aca="false">IF(AND(I60&lt;&gt;"",I60&gt;0,H60&lt;&gt;"",H60&lt;1),I60/(1-H60)*0.25,"")</f>
        <v/>
      </c>
      <c r="K60" s="4"/>
      <c r="L60" s="4"/>
      <c r="M60" s="4"/>
      <c r="N60" s="7" t="str">
        <f aca="false">IF(AND(M60&lt;&gt;"",F60&lt;&gt;"",H60&lt;&gt;"",K60&lt;&gt;""),IF(M60="win",(1-IF(F60="yes",H60,1-H60))*K60,IF(M60="loss",-IF(F60="yes",H60,1-H60)*K60,"")),"")</f>
        <v/>
      </c>
      <c r="O60" s="7" t="str">
        <f aca="false">IF(N60&lt;&gt;"",IF(O59&lt;&gt;"",O59,0)+N60,IF(O59&lt;&gt;"",O59,""))</f>
        <v/>
      </c>
      <c r="P60" s="4"/>
    </row>
    <row r="61" customFormat="false" ht="15" hidden="false" customHeight="true" outlineLevel="0" collapsed="false">
      <c r="A61" s="8" t="n">
        <v>60</v>
      </c>
      <c r="B61" s="9"/>
      <c r="C61" s="9"/>
      <c r="D61" s="9"/>
      <c r="E61" s="9"/>
      <c r="F61" s="9"/>
      <c r="G61" s="10"/>
      <c r="H61" s="10"/>
      <c r="I61" s="11" t="str">
        <f aca="false">IF(AND(F61&lt;&gt;"",G61&lt;&gt;"",H61&lt;&gt;""),IF(F61="yes",G61-H61,IF(F61="no",(1-G61)-(1-H61),"")),"")</f>
        <v/>
      </c>
      <c r="J61" s="11" t="str">
        <f aca="false">IF(AND(I61&lt;&gt;"",I61&gt;0,H61&lt;&gt;"",H61&lt;1),I61/(1-H61)*0.25,"")</f>
        <v/>
      </c>
      <c r="K61" s="9"/>
      <c r="L61" s="9"/>
      <c r="M61" s="9"/>
      <c r="N61" s="12" t="str">
        <f aca="false">IF(AND(M61&lt;&gt;"",F61&lt;&gt;"",H61&lt;&gt;"",K61&lt;&gt;""),IF(M61="win",(1-IF(F61="yes",H61,1-H61))*K61,IF(M61="loss",-IF(F61="yes",H61,1-H61)*K61,"")),"")</f>
        <v/>
      </c>
      <c r="O61" s="12" t="str">
        <f aca="false">IF(N61&lt;&gt;"",IF(O60&lt;&gt;"",O60,0)+N61,IF(O60&lt;&gt;"",O60,""))</f>
        <v/>
      </c>
      <c r="P61" s="9"/>
    </row>
    <row r="62" customFormat="false" ht="15" hidden="false" customHeight="true" outlineLevel="0" collapsed="false">
      <c r="A62" s="3" t="n">
        <v>61</v>
      </c>
      <c r="B62" s="4"/>
      <c r="C62" s="4"/>
      <c r="D62" s="4"/>
      <c r="E62" s="4"/>
      <c r="F62" s="4"/>
      <c r="G62" s="5"/>
      <c r="H62" s="5"/>
      <c r="I62" s="6" t="str">
        <f aca="false">IF(AND(F62&lt;&gt;"",G62&lt;&gt;"",H62&lt;&gt;""),IF(F62="yes",G62-H62,IF(F62="no",(1-G62)-(1-H62),"")),"")</f>
        <v/>
      </c>
      <c r="J62" s="6" t="str">
        <f aca="false">IF(AND(I62&lt;&gt;"",I62&gt;0,H62&lt;&gt;"",H62&lt;1),I62/(1-H62)*0.25,"")</f>
        <v/>
      </c>
      <c r="K62" s="4"/>
      <c r="L62" s="4"/>
      <c r="M62" s="4"/>
      <c r="N62" s="7" t="str">
        <f aca="false">IF(AND(M62&lt;&gt;"",F62&lt;&gt;"",H62&lt;&gt;"",K62&lt;&gt;""),IF(M62="win",(1-IF(F62="yes",H62,1-H62))*K62,IF(M62="loss",-IF(F62="yes",H62,1-H62)*K62,"")),"")</f>
        <v/>
      </c>
      <c r="O62" s="7" t="str">
        <f aca="false">IF(N62&lt;&gt;"",IF(O61&lt;&gt;"",O61,0)+N62,IF(O61&lt;&gt;"",O61,""))</f>
        <v/>
      </c>
      <c r="P62" s="4"/>
    </row>
    <row r="63" customFormat="false" ht="15" hidden="false" customHeight="true" outlineLevel="0" collapsed="false">
      <c r="A63" s="8" t="n">
        <v>62</v>
      </c>
      <c r="B63" s="9"/>
      <c r="C63" s="9"/>
      <c r="D63" s="9"/>
      <c r="E63" s="9"/>
      <c r="F63" s="9"/>
      <c r="G63" s="10"/>
      <c r="H63" s="10"/>
      <c r="I63" s="11" t="str">
        <f aca="false">IF(AND(F63&lt;&gt;"",G63&lt;&gt;"",H63&lt;&gt;""),IF(F63="yes",G63-H63,IF(F63="no",(1-G63)-(1-H63),"")),"")</f>
        <v/>
      </c>
      <c r="J63" s="11" t="str">
        <f aca="false">IF(AND(I63&lt;&gt;"",I63&gt;0,H63&lt;&gt;"",H63&lt;1),I63/(1-H63)*0.25,"")</f>
        <v/>
      </c>
      <c r="K63" s="9"/>
      <c r="L63" s="9"/>
      <c r="M63" s="9"/>
      <c r="N63" s="12" t="str">
        <f aca="false">IF(AND(M63&lt;&gt;"",F63&lt;&gt;"",H63&lt;&gt;"",K63&lt;&gt;""),IF(M63="win",(1-IF(F63="yes",H63,1-H63))*K63,IF(M63="loss",-IF(F63="yes",H63,1-H63)*K63,"")),"")</f>
        <v/>
      </c>
      <c r="O63" s="12" t="str">
        <f aca="false">IF(N63&lt;&gt;"",IF(O62&lt;&gt;"",O62,0)+N63,IF(O62&lt;&gt;"",O62,""))</f>
        <v/>
      </c>
      <c r="P63" s="9"/>
    </row>
    <row r="64" customFormat="false" ht="15" hidden="false" customHeight="true" outlineLevel="0" collapsed="false">
      <c r="A64" s="3" t="n">
        <v>63</v>
      </c>
      <c r="B64" s="4"/>
      <c r="C64" s="4"/>
      <c r="D64" s="4"/>
      <c r="E64" s="4"/>
      <c r="F64" s="4"/>
      <c r="G64" s="5"/>
      <c r="H64" s="5"/>
      <c r="I64" s="6" t="str">
        <f aca="false">IF(AND(F64&lt;&gt;"",G64&lt;&gt;"",H64&lt;&gt;""),IF(F64="yes",G64-H64,IF(F64="no",(1-G64)-(1-H64),"")),"")</f>
        <v/>
      </c>
      <c r="J64" s="6" t="str">
        <f aca="false">IF(AND(I64&lt;&gt;"",I64&gt;0,H64&lt;&gt;"",H64&lt;1),I64/(1-H64)*0.25,"")</f>
        <v/>
      </c>
      <c r="K64" s="4"/>
      <c r="L64" s="4"/>
      <c r="M64" s="4"/>
      <c r="N64" s="7" t="str">
        <f aca="false">IF(AND(M64&lt;&gt;"",F64&lt;&gt;"",H64&lt;&gt;"",K64&lt;&gt;""),IF(M64="win",(1-IF(F64="yes",H64,1-H64))*K64,IF(M64="loss",-IF(F64="yes",H64,1-H64)*K64,"")),"")</f>
        <v/>
      </c>
      <c r="O64" s="7" t="str">
        <f aca="false">IF(N64&lt;&gt;"",IF(O63&lt;&gt;"",O63,0)+N64,IF(O63&lt;&gt;"",O63,""))</f>
        <v/>
      </c>
      <c r="P64" s="4"/>
    </row>
    <row r="65" customFormat="false" ht="15" hidden="false" customHeight="true" outlineLevel="0" collapsed="false">
      <c r="A65" s="8" t="n">
        <v>64</v>
      </c>
      <c r="B65" s="9"/>
      <c r="C65" s="9"/>
      <c r="D65" s="9"/>
      <c r="E65" s="9"/>
      <c r="F65" s="9"/>
      <c r="G65" s="10"/>
      <c r="H65" s="10"/>
      <c r="I65" s="11" t="str">
        <f aca="false">IF(AND(F65&lt;&gt;"",G65&lt;&gt;"",H65&lt;&gt;""),IF(F65="yes",G65-H65,IF(F65="no",(1-G65)-(1-H65),"")),"")</f>
        <v/>
      </c>
      <c r="J65" s="11" t="str">
        <f aca="false">IF(AND(I65&lt;&gt;"",I65&gt;0,H65&lt;&gt;"",H65&lt;1),I65/(1-H65)*0.25,"")</f>
        <v/>
      </c>
      <c r="K65" s="9"/>
      <c r="L65" s="9"/>
      <c r="M65" s="9"/>
      <c r="N65" s="12" t="str">
        <f aca="false">IF(AND(M65&lt;&gt;"",F65&lt;&gt;"",H65&lt;&gt;"",K65&lt;&gt;""),IF(M65="win",(1-IF(F65="yes",H65,1-H65))*K65,IF(M65="loss",-IF(F65="yes",H65,1-H65)*K65,"")),"")</f>
        <v/>
      </c>
      <c r="O65" s="12" t="str">
        <f aca="false">IF(N65&lt;&gt;"",IF(O64&lt;&gt;"",O64,0)+N65,IF(O64&lt;&gt;"",O64,""))</f>
        <v/>
      </c>
      <c r="P65" s="9"/>
    </row>
    <row r="66" customFormat="false" ht="15" hidden="false" customHeight="true" outlineLevel="0" collapsed="false">
      <c r="A66" s="3" t="n">
        <v>65</v>
      </c>
      <c r="B66" s="4"/>
      <c r="C66" s="4"/>
      <c r="D66" s="4"/>
      <c r="E66" s="4"/>
      <c r="F66" s="4"/>
      <c r="G66" s="5"/>
      <c r="H66" s="5"/>
      <c r="I66" s="6" t="str">
        <f aca="false">IF(AND(F66&lt;&gt;"",G66&lt;&gt;"",H66&lt;&gt;""),IF(F66="yes",G66-H66,IF(F66="no",(1-G66)-(1-H66),"")),"")</f>
        <v/>
      </c>
      <c r="J66" s="6" t="str">
        <f aca="false">IF(AND(I66&lt;&gt;"",I66&gt;0,H66&lt;&gt;"",H66&lt;1),I66/(1-H66)*0.25,"")</f>
        <v/>
      </c>
      <c r="K66" s="4"/>
      <c r="L66" s="4"/>
      <c r="M66" s="4"/>
      <c r="N66" s="7" t="str">
        <f aca="false">IF(AND(M66&lt;&gt;"",F66&lt;&gt;"",H66&lt;&gt;"",K66&lt;&gt;""),IF(M66="win",(1-IF(F66="yes",H66,1-H66))*K66,IF(M66="loss",-IF(F66="yes",H66,1-H66)*K66,"")),"")</f>
        <v/>
      </c>
      <c r="O66" s="7" t="str">
        <f aca="false">IF(N66&lt;&gt;"",IF(O65&lt;&gt;"",O65,0)+N66,IF(O65&lt;&gt;"",O65,""))</f>
        <v/>
      </c>
      <c r="P66" s="4"/>
    </row>
    <row r="67" customFormat="false" ht="15" hidden="false" customHeight="true" outlineLevel="0" collapsed="false">
      <c r="A67" s="8" t="n">
        <v>66</v>
      </c>
      <c r="B67" s="9"/>
      <c r="C67" s="9"/>
      <c r="D67" s="9"/>
      <c r="E67" s="9"/>
      <c r="F67" s="9"/>
      <c r="G67" s="10"/>
      <c r="H67" s="10"/>
      <c r="I67" s="11" t="str">
        <f aca="false">IF(AND(F67&lt;&gt;"",G67&lt;&gt;"",H67&lt;&gt;""),IF(F67="yes",G67-H67,IF(F67="no",(1-G67)-(1-H67),"")),"")</f>
        <v/>
      </c>
      <c r="J67" s="11" t="str">
        <f aca="false">IF(AND(I67&lt;&gt;"",I67&gt;0,H67&lt;&gt;"",H67&lt;1),I67/(1-H67)*0.25,"")</f>
        <v/>
      </c>
      <c r="K67" s="9"/>
      <c r="L67" s="9"/>
      <c r="M67" s="9"/>
      <c r="N67" s="12" t="str">
        <f aca="false">IF(AND(M67&lt;&gt;"",F67&lt;&gt;"",H67&lt;&gt;"",K67&lt;&gt;""),IF(M67="win",(1-IF(F67="yes",H67,1-H67))*K67,IF(M67="loss",-IF(F67="yes",H67,1-H67)*K67,"")),"")</f>
        <v/>
      </c>
      <c r="O67" s="12" t="str">
        <f aca="false">IF(N67&lt;&gt;"",IF(O66&lt;&gt;"",O66,0)+N67,IF(O66&lt;&gt;"",O66,""))</f>
        <v/>
      </c>
      <c r="P67" s="9"/>
    </row>
    <row r="68" customFormat="false" ht="15" hidden="false" customHeight="true" outlineLevel="0" collapsed="false">
      <c r="A68" s="3" t="n">
        <v>67</v>
      </c>
      <c r="B68" s="4"/>
      <c r="C68" s="4"/>
      <c r="D68" s="4"/>
      <c r="E68" s="4"/>
      <c r="F68" s="4"/>
      <c r="G68" s="5"/>
      <c r="H68" s="5"/>
      <c r="I68" s="6" t="str">
        <f aca="false">IF(AND(F68&lt;&gt;"",G68&lt;&gt;"",H68&lt;&gt;""),IF(F68="yes",G68-H68,IF(F68="no",(1-G68)-(1-H68),"")),"")</f>
        <v/>
      </c>
      <c r="J68" s="6" t="str">
        <f aca="false">IF(AND(I68&lt;&gt;"",I68&gt;0,H68&lt;&gt;"",H68&lt;1),I68/(1-H68)*0.25,"")</f>
        <v/>
      </c>
      <c r="K68" s="4"/>
      <c r="L68" s="4"/>
      <c r="M68" s="4"/>
      <c r="N68" s="7" t="str">
        <f aca="false">IF(AND(M68&lt;&gt;"",F68&lt;&gt;"",H68&lt;&gt;"",K68&lt;&gt;""),IF(M68="win",(1-IF(F68="yes",H68,1-H68))*K68,IF(M68="loss",-IF(F68="yes",H68,1-H68)*K68,"")),"")</f>
        <v/>
      </c>
      <c r="O68" s="7" t="str">
        <f aca="false">IF(N68&lt;&gt;"",IF(O67&lt;&gt;"",O67,0)+N68,IF(O67&lt;&gt;"",O67,""))</f>
        <v/>
      </c>
      <c r="P68" s="4"/>
    </row>
    <row r="69" customFormat="false" ht="15" hidden="false" customHeight="true" outlineLevel="0" collapsed="false">
      <c r="A69" s="8" t="n">
        <v>68</v>
      </c>
      <c r="B69" s="9"/>
      <c r="C69" s="9"/>
      <c r="D69" s="9"/>
      <c r="E69" s="9"/>
      <c r="F69" s="9"/>
      <c r="G69" s="10"/>
      <c r="H69" s="10"/>
      <c r="I69" s="11" t="str">
        <f aca="false">IF(AND(F69&lt;&gt;"",G69&lt;&gt;"",H69&lt;&gt;""),IF(F69="yes",G69-H69,IF(F69="no",(1-G69)-(1-H69),"")),"")</f>
        <v/>
      </c>
      <c r="J69" s="11" t="str">
        <f aca="false">IF(AND(I69&lt;&gt;"",I69&gt;0,H69&lt;&gt;"",H69&lt;1),I69/(1-H69)*0.25,"")</f>
        <v/>
      </c>
      <c r="K69" s="9"/>
      <c r="L69" s="9"/>
      <c r="M69" s="9"/>
      <c r="N69" s="12" t="str">
        <f aca="false">IF(AND(M69&lt;&gt;"",F69&lt;&gt;"",H69&lt;&gt;"",K69&lt;&gt;""),IF(M69="win",(1-IF(F69="yes",H69,1-H69))*K69,IF(M69="loss",-IF(F69="yes",H69,1-H69)*K69,"")),"")</f>
        <v/>
      </c>
      <c r="O69" s="12" t="str">
        <f aca="false">IF(N69&lt;&gt;"",IF(O68&lt;&gt;"",O68,0)+N69,IF(O68&lt;&gt;"",O68,""))</f>
        <v/>
      </c>
      <c r="P69" s="9"/>
    </row>
    <row r="70" customFormat="false" ht="15" hidden="false" customHeight="true" outlineLevel="0" collapsed="false">
      <c r="A70" s="3" t="n">
        <v>69</v>
      </c>
      <c r="B70" s="4"/>
      <c r="C70" s="4"/>
      <c r="D70" s="4"/>
      <c r="E70" s="4"/>
      <c r="F70" s="4"/>
      <c r="G70" s="5"/>
      <c r="H70" s="5"/>
      <c r="I70" s="6" t="str">
        <f aca="false">IF(AND(F70&lt;&gt;"",G70&lt;&gt;"",H70&lt;&gt;""),IF(F70="yes",G70-H70,IF(F70="no",(1-G70)-(1-H70),"")),"")</f>
        <v/>
      </c>
      <c r="J70" s="6" t="str">
        <f aca="false">IF(AND(I70&lt;&gt;"",I70&gt;0,H70&lt;&gt;"",H70&lt;1),I70/(1-H70)*0.25,"")</f>
        <v/>
      </c>
      <c r="K70" s="4"/>
      <c r="L70" s="4"/>
      <c r="M70" s="4"/>
      <c r="N70" s="7" t="str">
        <f aca="false">IF(AND(M70&lt;&gt;"",F70&lt;&gt;"",H70&lt;&gt;"",K70&lt;&gt;""),IF(M70="win",(1-IF(F70="yes",H70,1-H70))*K70,IF(M70="loss",-IF(F70="yes",H70,1-H70)*K70,"")),"")</f>
        <v/>
      </c>
      <c r="O70" s="7" t="str">
        <f aca="false">IF(N70&lt;&gt;"",IF(O69&lt;&gt;"",O69,0)+N70,IF(O69&lt;&gt;"",O69,""))</f>
        <v/>
      </c>
      <c r="P70" s="4"/>
    </row>
    <row r="71" customFormat="false" ht="15" hidden="false" customHeight="true" outlineLevel="0" collapsed="false">
      <c r="A71" s="8" t="n">
        <v>70</v>
      </c>
      <c r="B71" s="9"/>
      <c r="C71" s="9"/>
      <c r="D71" s="9"/>
      <c r="E71" s="9"/>
      <c r="F71" s="9"/>
      <c r="G71" s="10"/>
      <c r="H71" s="10"/>
      <c r="I71" s="11" t="str">
        <f aca="false">IF(AND(F71&lt;&gt;"",G71&lt;&gt;"",H71&lt;&gt;""),IF(F71="yes",G71-H71,IF(F71="no",(1-G71)-(1-H71),"")),"")</f>
        <v/>
      </c>
      <c r="J71" s="11" t="str">
        <f aca="false">IF(AND(I71&lt;&gt;"",I71&gt;0,H71&lt;&gt;"",H71&lt;1),I71/(1-H71)*0.25,"")</f>
        <v/>
      </c>
      <c r="K71" s="9"/>
      <c r="L71" s="9"/>
      <c r="M71" s="9"/>
      <c r="N71" s="12" t="str">
        <f aca="false">IF(AND(M71&lt;&gt;"",F71&lt;&gt;"",H71&lt;&gt;"",K71&lt;&gt;""),IF(M71="win",(1-IF(F71="yes",H71,1-H71))*K71,IF(M71="loss",-IF(F71="yes",H71,1-H71)*K71,"")),"")</f>
        <v/>
      </c>
      <c r="O71" s="12" t="str">
        <f aca="false">IF(N71&lt;&gt;"",IF(O70&lt;&gt;"",O70,0)+N71,IF(O70&lt;&gt;"",O70,""))</f>
        <v/>
      </c>
      <c r="P71" s="9"/>
    </row>
    <row r="72" customFormat="false" ht="15" hidden="false" customHeight="true" outlineLevel="0" collapsed="false">
      <c r="A72" s="3" t="n">
        <v>71</v>
      </c>
      <c r="B72" s="4"/>
      <c r="C72" s="4"/>
      <c r="D72" s="4"/>
      <c r="E72" s="4"/>
      <c r="F72" s="4"/>
      <c r="G72" s="5"/>
      <c r="H72" s="5"/>
      <c r="I72" s="6" t="str">
        <f aca="false">IF(AND(F72&lt;&gt;"",G72&lt;&gt;"",H72&lt;&gt;""),IF(F72="yes",G72-H72,IF(F72="no",(1-G72)-(1-H72),"")),"")</f>
        <v/>
      </c>
      <c r="J72" s="6" t="str">
        <f aca="false">IF(AND(I72&lt;&gt;"",I72&gt;0,H72&lt;&gt;"",H72&lt;1),I72/(1-H72)*0.25,"")</f>
        <v/>
      </c>
      <c r="K72" s="4"/>
      <c r="L72" s="4"/>
      <c r="M72" s="4"/>
      <c r="N72" s="7" t="str">
        <f aca="false">IF(AND(M72&lt;&gt;"",F72&lt;&gt;"",H72&lt;&gt;"",K72&lt;&gt;""),IF(M72="win",(1-IF(F72="yes",H72,1-H72))*K72,IF(M72="loss",-IF(F72="yes",H72,1-H72)*K72,"")),"")</f>
        <v/>
      </c>
      <c r="O72" s="7" t="str">
        <f aca="false">IF(N72&lt;&gt;"",IF(O71&lt;&gt;"",O71,0)+N72,IF(O71&lt;&gt;"",O71,""))</f>
        <v/>
      </c>
      <c r="P72" s="4"/>
    </row>
    <row r="73" customFormat="false" ht="15" hidden="false" customHeight="true" outlineLevel="0" collapsed="false">
      <c r="A73" s="8" t="n">
        <v>72</v>
      </c>
      <c r="B73" s="9"/>
      <c r="C73" s="9"/>
      <c r="D73" s="9"/>
      <c r="E73" s="9"/>
      <c r="F73" s="9"/>
      <c r="G73" s="10"/>
      <c r="H73" s="10"/>
      <c r="I73" s="11" t="str">
        <f aca="false">IF(AND(F73&lt;&gt;"",G73&lt;&gt;"",H73&lt;&gt;""),IF(F73="yes",G73-H73,IF(F73="no",(1-G73)-(1-H73),"")),"")</f>
        <v/>
      </c>
      <c r="J73" s="11" t="str">
        <f aca="false">IF(AND(I73&lt;&gt;"",I73&gt;0,H73&lt;&gt;"",H73&lt;1),I73/(1-H73)*0.25,"")</f>
        <v/>
      </c>
      <c r="K73" s="9"/>
      <c r="L73" s="9"/>
      <c r="M73" s="9"/>
      <c r="N73" s="12" t="str">
        <f aca="false">IF(AND(M73&lt;&gt;"",F73&lt;&gt;"",H73&lt;&gt;"",K73&lt;&gt;""),IF(M73="win",(1-IF(F73="yes",H73,1-H73))*K73,IF(M73="loss",-IF(F73="yes",H73,1-H73)*K73,"")),"")</f>
        <v/>
      </c>
      <c r="O73" s="12" t="str">
        <f aca="false">IF(N73&lt;&gt;"",IF(O72&lt;&gt;"",O72,0)+N73,IF(O72&lt;&gt;"",O72,""))</f>
        <v/>
      </c>
      <c r="P73" s="9"/>
    </row>
    <row r="74" customFormat="false" ht="15" hidden="false" customHeight="true" outlineLevel="0" collapsed="false">
      <c r="A74" s="3" t="n">
        <v>73</v>
      </c>
      <c r="B74" s="4"/>
      <c r="C74" s="4"/>
      <c r="D74" s="4"/>
      <c r="E74" s="4"/>
      <c r="F74" s="4"/>
      <c r="G74" s="5"/>
      <c r="H74" s="5"/>
      <c r="I74" s="6" t="str">
        <f aca="false">IF(AND(F74&lt;&gt;"",G74&lt;&gt;"",H74&lt;&gt;""),IF(F74="yes",G74-H74,IF(F74="no",(1-G74)-(1-H74),"")),"")</f>
        <v/>
      </c>
      <c r="J74" s="6" t="str">
        <f aca="false">IF(AND(I74&lt;&gt;"",I74&gt;0,H74&lt;&gt;"",H74&lt;1),I74/(1-H74)*0.25,"")</f>
        <v/>
      </c>
      <c r="K74" s="4"/>
      <c r="L74" s="4"/>
      <c r="M74" s="4"/>
      <c r="N74" s="7" t="str">
        <f aca="false">IF(AND(M74&lt;&gt;"",F74&lt;&gt;"",H74&lt;&gt;"",K74&lt;&gt;""),IF(M74="win",(1-IF(F74="yes",H74,1-H74))*K74,IF(M74="loss",-IF(F74="yes",H74,1-H74)*K74,"")),"")</f>
        <v/>
      </c>
      <c r="O74" s="7" t="str">
        <f aca="false">IF(N74&lt;&gt;"",IF(O73&lt;&gt;"",O73,0)+N74,IF(O73&lt;&gt;"",O73,""))</f>
        <v/>
      </c>
      <c r="P74" s="4"/>
    </row>
    <row r="75" customFormat="false" ht="15" hidden="false" customHeight="true" outlineLevel="0" collapsed="false">
      <c r="A75" s="8" t="n">
        <v>74</v>
      </c>
      <c r="B75" s="9"/>
      <c r="C75" s="9"/>
      <c r="D75" s="9"/>
      <c r="E75" s="9"/>
      <c r="F75" s="9"/>
      <c r="G75" s="10"/>
      <c r="H75" s="10"/>
      <c r="I75" s="11" t="str">
        <f aca="false">IF(AND(F75&lt;&gt;"",G75&lt;&gt;"",H75&lt;&gt;""),IF(F75="yes",G75-H75,IF(F75="no",(1-G75)-(1-H75),"")),"")</f>
        <v/>
      </c>
      <c r="J75" s="11" t="str">
        <f aca="false">IF(AND(I75&lt;&gt;"",I75&gt;0,H75&lt;&gt;"",H75&lt;1),I75/(1-H75)*0.25,"")</f>
        <v/>
      </c>
      <c r="K75" s="9"/>
      <c r="L75" s="9"/>
      <c r="M75" s="9"/>
      <c r="N75" s="12" t="str">
        <f aca="false">IF(AND(M75&lt;&gt;"",F75&lt;&gt;"",H75&lt;&gt;"",K75&lt;&gt;""),IF(M75="win",(1-IF(F75="yes",H75,1-H75))*K75,IF(M75="loss",-IF(F75="yes",H75,1-H75)*K75,"")),"")</f>
        <v/>
      </c>
      <c r="O75" s="12" t="str">
        <f aca="false">IF(N75&lt;&gt;"",IF(O74&lt;&gt;"",O74,0)+N75,IF(O74&lt;&gt;"",O74,""))</f>
        <v/>
      </c>
      <c r="P75" s="9"/>
    </row>
    <row r="76" customFormat="false" ht="15" hidden="false" customHeight="true" outlineLevel="0" collapsed="false">
      <c r="A76" s="3" t="n">
        <v>75</v>
      </c>
      <c r="B76" s="4"/>
      <c r="C76" s="4"/>
      <c r="D76" s="4"/>
      <c r="E76" s="4"/>
      <c r="F76" s="4"/>
      <c r="G76" s="5"/>
      <c r="H76" s="5"/>
      <c r="I76" s="6" t="str">
        <f aca="false">IF(AND(F76&lt;&gt;"",G76&lt;&gt;"",H76&lt;&gt;""),IF(F76="yes",G76-H76,IF(F76="no",(1-G76)-(1-H76),"")),"")</f>
        <v/>
      </c>
      <c r="J76" s="6" t="str">
        <f aca="false">IF(AND(I76&lt;&gt;"",I76&gt;0,H76&lt;&gt;"",H76&lt;1),I76/(1-H76)*0.25,"")</f>
        <v/>
      </c>
      <c r="K76" s="4"/>
      <c r="L76" s="4"/>
      <c r="M76" s="4"/>
      <c r="N76" s="7" t="str">
        <f aca="false">IF(AND(M76&lt;&gt;"",F76&lt;&gt;"",H76&lt;&gt;"",K76&lt;&gt;""),IF(M76="win",(1-IF(F76="yes",H76,1-H76))*K76,IF(M76="loss",-IF(F76="yes",H76,1-H76)*K76,"")),"")</f>
        <v/>
      </c>
      <c r="O76" s="7" t="str">
        <f aca="false">IF(N76&lt;&gt;"",IF(O75&lt;&gt;"",O75,0)+N76,IF(O75&lt;&gt;"",O75,""))</f>
        <v/>
      </c>
      <c r="P76" s="4"/>
    </row>
    <row r="77" customFormat="false" ht="15" hidden="false" customHeight="true" outlineLevel="0" collapsed="false">
      <c r="A77" s="8" t="n">
        <v>76</v>
      </c>
      <c r="B77" s="9"/>
      <c r="C77" s="9"/>
      <c r="D77" s="9"/>
      <c r="E77" s="9"/>
      <c r="F77" s="9"/>
      <c r="G77" s="10"/>
      <c r="H77" s="10"/>
      <c r="I77" s="11" t="str">
        <f aca="false">IF(AND(F77&lt;&gt;"",G77&lt;&gt;"",H77&lt;&gt;""),IF(F77="yes",G77-H77,IF(F77="no",(1-G77)-(1-H77),"")),"")</f>
        <v/>
      </c>
      <c r="J77" s="11" t="str">
        <f aca="false">IF(AND(I77&lt;&gt;"",I77&gt;0,H77&lt;&gt;"",H77&lt;1),I77/(1-H77)*0.25,"")</f>
        <v/>
      </c>
      <c r="K77" s="9"/>
      <c r="L77" s="9"/>
      <c r="M77" s="9"/>
      <c r="N77" s="12" t="str">
        <f aca="false">IF(AND(M77&lt;&gt;"",F77&lt;&gt;"",H77&lt;&gt;"",K77&lt;&gt;""),IF(M77="win",(1-IF(F77="yes",H77,1-H77))*K77,IF(M77="loss",-IF(F77="yes",H77,1-H77)*K77,"")),"")</f>
        <v/>
      </c>
      <c r="O77" s="12" t="str">
        <f aca="false">IF(N77&lt;&gt;"",IF(O76&lt;&gt;"",O76,0)+N77,IF(O76&lt;&gt;"",O76,""))</f>
        <v/>
      </c>
      <c r="P77" s="9"/>
    </row>
    <row r="78" customFormat="false" ht="15" hidden="false" customHeight="true" outlineLevel="0" collapsed="false">
      <c r="A78" s="3" t="n">
        <v>77</v>
      </c>
      <c r="B78" s="4"/>
      <c r="C78" s="4"/>
      <c r="D78" s="4"/>
      <c r="E78" s="4"/>
      <c r="F78" s="4"/>
      <c r="G78" s="5"/>
      <c r="H78" s="5"/>
      <c r="I78" s="6" t="str">
        <f aca="false">IF(AND(F78&lt;&gt;"",G78&lt;&gt;"",H78&lt;&gt;""),IF(F78="yes",G78-H78,IF(F78="no",(1-G78)-(1-H78),"")),"")</f>
        <v/>
      </c>
      <c r="J78" s="6" t="str">
        <f aca="false">IF(AND(I78&lt;&gt;"",I78&gt;0,H78&lt;&gt;"",H78&lt;1),I78/(1-H78)*0.25,"")</f>
        <v/>
      </c>
      <c r="K78" s="4"/>
      <c r="L78" s="4"/>
      <c r="M78" s="4"/>
      <c r="N78" s="7" t="str">
        <f aca="false">IF(AND(M78&lt;&gt;"",F78&lt;&gt;"",H78&lt;&gt;"",K78&lt;&gt;""),IF(M78="win",(1-IF(F78="yes",H78,1-H78))*K78,IF(M78="loss",-IF(F78="yes",H78,1-H78)*K78,"")),"")</f>
        <v/>
      </c>
      <c r="O78" s="7" t="str">
        <f aca="false">IF(N78&lt;&gt;"",IF(O77&lt;&gt;"",O77,0)+N78,IF(O77&lt;&gt;"",O77,""))</f>
        <v/>
      </c>
      <c r="P78" s="4"/>
    </row>
    <row r="79" customFormat="false" ht="15" hidden="false" customHeight="true" outlineLevel="0" collapsed="false">
      <c r="A79" s="8" t="n">
        <v>78</v>
      </c>
      <c r="B79" s="9"/>
      <c r="C79" s="9"/>
      <c r="D79" s="9"/>
      <c r="E79" s="9"/>
      <c r="F79" s="9"/>
      <c r="G79" s="10"/>
      <c r="H79" s="10"/>
      <c r="I79" s="11" t="str">
        <f aca="false">IF(AND(F79&lt;&gt;"",G79&lt;&gt;"",H79&lt;&gt;""),IF(F79="yes",G79-H79,IF(F79="no",(1-G79)-(1-H79),"")),"")</f>
        <v/>
      </c>
      <c r="J79" s="11" t="str">
        <f aca="false">IF(AND(I79&lt;&gt;"",I79&gt;0,H79&lt;&gt;"",H79&lt;1),I79/(1-H79)*0.25,"")</f>
        <v/>
      </c>
      <c r="K79" s="9"/>
      <c r="L79" s="9"/>
      <c r="M79" s="9"/>
      <c r="N79" s="12" t="str">
        <f aca="false">IF(AND(M79&lt;&gt;"",F79&lt;&gt;"",H79&lt;&gt;"",K79&lt;&gt;""),IF(M79="win",(1-IF(F79="yes",H79,1-H79))*K79,IF(M79="loss",-IF(F79="yes",H79,1-H79)*K79,"")),"")</f>
        <v/>
      </c>
      <c r="O79" s="12" t="str">
        <f aca="false">IF(N79&lt;&gt;"",IF(O78&lt;&gt;"",O78,0)+N79,IF(O78&lt;&gt;"",O78,""))</f>
        <v/>
      </c>
      <c r="P79" s="9"/>
    </row>
    <row r="80" customFormat="false" ht="15" hidden="false" customHeight="true" outlineLevel="0" collapsed="false">
      <c r="A80" s="3" t="n">
        <v>79</v>
      </c>
      <c r="B80" s="4"/>
      <c r="C80" s="4"/>
      <c r="D80" s="4"/>
      <c r="E80" s="4"/>
      <c r="F80" s="4"/>
      <c r="G80" s="5"/>
      <c r="H80" s="5"/>
      <c r="I80" s="6" t="str">
        <f aca="false">IF(AND(F80&lt;&gt;"",G80&lt;&gt;"",H80&lt;&gt;""),IF(F80="yes",G80-H80,IF(F80="no",(1-G80)-(1-H80),"")),"")</f>
        <v/>
      </c>
      <c r="J80" s="6" t="str">
        <f aca="false">IF(AND(I80&lt;&gt;"",I80&gt;0,H80&lt;&gt;"",H80&lt;1),I80/(1-H80)*0.25,"")</f>
        <v/>
      </c>
      <c r="K80" s="4"/>
      <c r="L80" s="4"/>
      <c r="M80" s="4"/>
      <c r="N80" s="7" t="str">
        <f aca="false">IF(AND(M80&lt;&gt;"",F80&lt;&gt;"",H80&lt;&gt;"",K80&lt;&gt;""),IF(M80="win",(1-IF(F80="yes",H80,1-H80))*K80,IF(M80="loss",-IF(F80="yes",H80,1-H80)*K80,"")),"")</f>
        <v/>
      </c>
      <c r="O80" s="7" t="str">
        <f aca="false">IF(N80&lt;&gt;"",IF(O79&lt;&gt;"",O79,0)+N80,IF(O79&lt;&gt;"",O79,""))</f>
        <v/>
      </c>
      <c r="P80" s="4"/>
    </row>
    <row r="81" customFormat="false" ht="15" hidden="false" customHeight="true" outlineLevel="0" collapsed="false">
      <c r="A81" s="8" t="n">
        <v>80</v>
      </c>
      <c r="B81" s="9"/>
      <c r="C81" s="9"/>
      <c r="D81" s="9"/>
      <c r="E81" s="9"/>
      <c r="F81" s="9"/>
      <c r="G81" s="10"/>
      <c r="H81" s="10"/>
      <c r="I81" s="11" t="str">
        <f aca="false">IF(AND(F81&lt;&gt;"",G81&lt;&gt;"",H81&lt;&gt;""),IF(F81="yes",G81-H81,IF(F81="no",(1-G81)-(1-H81),"")),"")</f>
        <v/>
      </c>
      <c r="J81" s="11" t="str">
        <f aca="false">IF(AND(I81&lt;&gt;"",I81&gt;0,H81&lt;&gt;"",H81&lt;1),I81/(1-H81)*0.25,"")</f>
        <v/>
      </c>
      <c r="K81" s="9"/>
      <c r="L81" s="9"/>
      <c r="M81" s="9"/>
      <c r="N81" s="12" t="str">
        <f aca="false">IF(AND(M81&lt;&gt;"",F81&lt;&gt;"",H81&lt;&gt;"",K81&lt;&gt;""),IF(M81="win",(1-IF(F81="yes",H81,1-H81))*K81,IF(M81="loss",-IF(F81="yes",H81,1-H81)*K81,"")),"")</f>
        <v/>
      </c>
      <c r="O81" s="12" t="str">
        <f aca="false">IF(N81&lt;&gt;"",IF(O80&lt;&gt;"",O80,0)+N81,IF(O80&lt;&gt;"",O80,""))</f>
        <v/>
      </c>
      <c r="P81" s="9"/>
    </row>
    <row r="82" customFormat="false" ht="15" hidden="false" customHeight="true" outlineLevel="0" collapsed="false">
      <c r="A82" s="3" t="n">
        <v>81</v>
      </c>
      <c r="B82" s="4"/>
      <c r="C82" s="4"/>
      <c r="D82" s="4"/>
      <c r="E82" s="4"/>
      <c r="F82" s="4"/>
      <c r="G82" s="5"/>
      <c r="H82" s="5"/>
      <c r="I82" s="6" t="str">
        <f aca="false">IF(AND(F82&lt;&gt;"",G82&lt;&gt;"",H82&lt;&gt;""),IF(F82="yes",G82-H82,IF(F82="no",(1-G82)-(1-H82),"")),"")</f>
        <v/>
      </c>
      <c r="J82" s="6" t="str">
        <f aca="false">IF(AND(I82&lt;&gt;"",I82&gt;0,H82&lt;&gt;"",H82&lt;1),I82/(1-H82)*0.25,"")</f>
        <v/>
      </c>
      <c r="K82" s="4"/>
      <c r="L82" s="4"/>
      <c r="M82" s="4"/>
      <c r="N82" s="7" t="str">
        <f aca="false">IF(AND(M82&lt;&gt;"",F82&lt;&gt;"",H82&lt;&gt;"",K82&lt;&gt;""),IF(M82="win",(1-IF(F82="yes",H82,1-H82))*K82,IF(M82="loss",-IF(F82="yes",H82,1-H82)*K82,"")),"")</f>
        <v/>
      </c>
      <c r="O82" s="7" t="str">
        <f aca="false">IF(N82&lt;&gt;"",IF(O81&lt;&gt;"",O81,0)+N82,IF(O81&lt;&gt;"",O81,""))</f>
        <v/>
      </c>
      <c r="P82" s="4"/>
    </row>
    <row r="83" customFormat="false" ht="15" hidden="false" customHeight="true" outlineLevel="0" collapsed="false">
      <c r="A83" s="8" t="n">
        <v>82</v>
      </c>
      <c r="B83" s="9"/>
      <c r="C83" s="9"/>
      <c r="D83" s="9"/>
      <c r="E83" s="9"/>
      <c r="F83" s="9"/>
      <c r="G83" s="10"/>
      <c r="H83" s="10"/>
      <c r="I83" s="11" t="str">
        <f aca="false">IF(AND(F83&lt;&gt;"",G83&lt;&gt;"",H83&lt;&gt;""),IF(F83="yes",G83-H83,IF(F83="no",(1-G83)-(1-H83),"")),"")</f>
        <v/>
      </c>
      <c r="J83" s="11" t="str">
        <f aca="false">IF(AND(I83&lt;&gt;"",I83&gt;0,H83&lt;&gt;"",H83&lt;1),I83/(1-H83)*0.25,"")</f>
        <v/>
      </c>
      <c r="K83" s="9"/>
      <c r="L83" s="9"/>
      <c r="M83" s="9"/>
      <c r="N83" s="12" t="str">
        <f aca="false">IF(AND(M83&lt;&gt;"",F83&lt;&gt;"",H83&lt;&gt;"",K83&lt;&gt;""),IF(M83="win",(1-IF(F83="yes",H83,1-H83))*K83,IF(M83="loss",-IF(F83="yes",H83,1-H83)*K83,"")),"")</f>
        <v/>
      </c>
      <c r="O83" s="12" t="str">
        <f aca="false">IF(N83&lt;&gt;"",IF(O82&lt;&gt;"",O82,0)+N83,IF(O82&lt;&gt;"",O82,""))</f>
        <v/>
      </c>
      <c r="P83" s="9"/>
    </row>
    <row r="84" customFormat="false" ht="15" hidden="false" customHeight="true" outlineLevel="0" collapsed="false">
      <c r="A84" s="3" t="n">
        <v>83</v>
      </c>
      <c r="B84" s="4"/>
      <c r="C84" s="4"/>
      <c r="D84" s="4"/>
      <c r="E84" s="4"/>
      <c r="F84" s="4"/>
      <c r="G84" s="5"/>
      <c r="H84" s="5"/>
      <c r="I84" s="6" t="str">
        <f aca="false">IF(AND(F84&lt;&gt;"",G84&lt;&gt;"",H84&lt;&gt;""),IF(F84="yes",G84-H84,IF(F84="no",(1-G84)-(1-H84),"")),"")</f>
        <v/>
      </c>
      <c r="J84" s="6" t="str">
        <f aca="false">IF(AND(I84&lt;&gt;"",I84&gt;0,H84&lt;&gt;"",H84&lt;1),I84/(1-H84)*0.25,"")</f>
        <v/>
      </c>
      <c r="K84" s="4"/>
      <c r="L84" s="4"/>
      <c r="M84" s="4"/>
      <c r="N84" s="7" t="str">
        <f aca="false">IF(AND(M84&lt;&gt;"",F84&lt;&gt;"",H84&lt;&gt;"",K84&lt;&gt;""),IF(M84="win",(1-IF(F84="yes",H84,1-H84))*K84,IF(M84="loss",-IF(F84="yes",H84,1-H84)*K84,"")),"")</f>
        <v/>
      </c>
      <c r="O84" s="7" t="str">
        <f aca="false">IF(N84&lt;&gt;"",IF(O83&lt;&gt;"",O83,0)+N84,IF(O83&lt;&gt;"",O83,""))</f>
        <v/>
      </c>
      <c r="P84" s="4"/>
    </row>
    <row r="85" customFormat="false" ht="15" hidden="false" customHeight="true" outlineLevel="0" collapsed="false">
      <c r="A85" s="8" t="n">
        <v>84</v>
      </c>
      <c r="B85" s="9"/>
      <c r="C85" s="9"/>
      <c r="D85" s="9"/>
      <c r="E85" s="9"/>
      <c r="F85" s="9"/>
      <c r="G85" s="10"/>
      <c r="H85" s="10"/>
      <c r="I85" s="11" t="str">
        <f aca="false">IF(AND(F85&lt;&gt;"",G85&lt;&gt;"",H85&lt;&gt;""),IF(F85="yes",G85-H85,IF(F85="no",(1-G85)-(1-H85),"")),"")</f>
        <v/>
      </c>
      <c r="J85" s="11" t="str">
        <f aca="false">IF(AND(I85&lt;&gt;"",I85&gt;0,H85&lt;&gt;"",H85&lt;1),I85/(1-H85)*0.25,"")</f>
        <v/>
      </c>
      <c r="K85" s="9"/>
      <c r="L85" s="9"/>
      <c r="M85" s="9"/>
      <c r="N85" s="12" t="str">
        <f aca="false">IF(AND(M85&lt;&gt;"",F85&lt;&gt;"",H85&lt;&gt;"",K85&lt;&gt;""),IF(M85="win",(1-IF(F85="yes",H85,1-H85))*K85,IF(M85="loss",-IF(F85="yes",H85,1-H85)*K85,"")),"")</f>
        <v/>
      </c>
      <c r="O85" s="12" t="str">
        <f aca="false">IF(N85&lt;&gt;"",IF(O84&lt;&gt;"",O84,0)+N85,IF(O84&lt;&gt;"",O84,""))</f>
        <v/>
      </c>
      <c r="P85" s="9"/>
    </row>
    <row r="86" customFormat="false" ht="15" hidden="false" customHeight="true" outlineLevel="0" collapsed="false">
      <c r="A86" s="3" t="n">
        <v>85</v>
      </c>
      <c r="B86" s="4"/>
      <c r="C86" s="4"/>
      <c r="D86" s="4"/>
      <c r="E86" s="4"/>
      <c r="F86" s="4"/>
      <c r="G86" s="5"/>
      <c r="H86" s="5"/>
      <c r="I86" s="6" t="str">
        <f aca="false">IF(AND(F86&lt;&gt;"",G86&lt;&gt;"",H86&lt;&gt;""),IF(F86="yes",G86-H86,IF(F86="no",(1-G86)-(1-H86),"")),"")</f>
        <v/>
      </c>
      <c r="J86" s="6" t="str">
        <f aca="false">IF(AND(I86&lt;&gt;"",I86&gt;0,H86&lt;&gt;"",H86&lt;1),I86/(1-H86)*0.25,"")</f>
        <v/>
      </c>
      <c r="K86" s="4"/>
      <c r="L86" s="4"/>
      <c r="M86" s="4"/>
      <c r="N86" s="7" t="str">
        <f aca="false">IF(AND(M86&lt;&gt;"",F86&lt;&gt;"",H86&lt;&gt;"",K86&lt;&gt;""),IF(M86="win",(1-IF(F86="yes",H86,1-H86))*K86,IF(M86="loss",-IF(F86="yes",H86,1-H86)*K86,"")),"")</f>
        <v/>
      </c>
      <c r="O86" s="7" t="str">
        <f aca="false">IF(N86&lt;&gt;"",IF(O85&lt;&gt;"",O85,0)+N86,IF(O85&lt;&gt;"",O85,""))</f>
        <v/>
      </c>
      <c r="P86" s="4"/>
    </row>
    <row r="87" customFormat="false" ht="15" hidden="false" customHeight="true" outlineLevel="0" collapsed="false">
      <c r="A87" s="8" t="n">
        <v>86</v>
      </c>
      <c r="B87" s="9"/>
      <c r="C87" s="9"/>
      <c r="D87" s="9"/>
      <c r="E87" s="9"/>
      <c r="F87" s="9"/>
      <c r="G87" s="10"/>
      <c r="H87" s="10"/>
      <c r="I87" s="11" t="str">
        <f aca="false">IF(AND(F87&lt;&gt;"",G87&lt;&gt;"",H87&lt;&gt;""),IF(F87="yes",G87-H87,IF(F87="no",(1-G87)-(1-H87),"")),"")</f>
        <v/>
      </c>
      <c r="J87" s="11" t="str">
        <f aca="false">IF(AND(I87&lt;&gt;"",I87&gt;0,H87&lt;&gt;"",H87&lt;1),I87/(1-H87)*0.25,"")</f>
        <v/>
      </c>
      <c r="K87" s="9"/>
      <c r="L87" s="9"/>
      <c r="M87" s="9"/>
      <c r="N87" s="12" t="str">
        <f aca="false">IF(AND(M87&lt;&gt;"",F87&lt;&gt;"",H87&lt;&gt;"",K87&lt;&gt;""),IF(M87="win",(1-IF(F87="yes",H87,1-H87))*K87,IF(M87="loss",-IF(F87="yes",H87,1-H87)*K87,"")),"")</f>
        <v/>
      </c>
      <c r="O87" s="12" t="str">
        <f aca="false">IF(N87&lt;&gt;"",IF(O86&lt;&gt;"",O86,0)+N87,IF(O86&lt;&gt;"",O86,""))</f>
        <v/>
      </c>
      <c r="P87" s="9"/>
    </row>
    <row r="88" customFormat="false" ht="15" hidden="false" customHeight="true" outlineLevel="0" collapsed="false">
      <c r="A88" s="3" t="n">
        <v>87</v>
      </c>
      <c r="B88" s="4"/>
      <c r="C88" s="4"/>
      <c r="D88" s="4"/>
      <c r="E88" s="4"/>
      <c r="F88" s="4"/>
      <c r="G88" s="5"/>
      <c r="H88" s="5"/>
      <c r="I88" s="6" t="str">
        <f aca="false">IF(AND(F88&lt;&gt;"",G88&lt;&gt;"",H88&lt;&gt;""),IF(F88="yes",G88-H88,IF(F88="no",(1-G88)-(1-H88),"")),"")</f>
        <v/>
      </c>
      <c r="J88" s="6" t="str">
        <f aca="false">IF(AND(I88&lt;&gt;"",I88&gt;0,H88&lt;&gt;"",H88&lt;1),I88/(1-H88)*0.25,"")</f>
        <v/>
      </c>
      <c r="K88" s="4"/>
      <c r="L88" s="4"/>
      <c r="M88" s="4"/>
      <c r="N88" s="7" t="str">
        <f aca="false">IF(AND(M88&lt;&gt;"",F88&lt;&gt;"",H88&lt;&gt;"",K88&lt;&gt;""),IF(M88="win",(1-IF(F88="yes",H88,1-H88))*K88,IF(M88="loss",-IF(F88="yes",H88,1-H88)*K88,"")),"")</f>
        <v/>
      </c>
      <c r="O88" s="7" t="str">
        <f aca="false">IF(N88&lt;&gt;"",IF(O87&lt;&gt;"",O87,0)+N88,IF(O87&lt;&gt;"",O87,""))</f>
        <v/>
      </c>
      <c r="P88" s="4"/>
    </row>
    <row r="89" customFormat="false" ht="15" hidden="false" customHeight="true" outlineLevel="0" collapsed="false">
      <c r="A89" s="8" t="n">
        <v>88</v>
      </c>
      <c r="B89" s="9"/>
      <c r="C89" s="9"/>
      <c r="D89" s="9"/>
      <c r="E89" s="9"/>
      <c r="F89" s="9"/>
      <c r="G89" s="10"/>
      <c r="H89" s="10"/>
      <c r="I89" s="11" t="str">
        <f aca="false">IF(AND(F89&lt;&gt;"",G89&lt;&gt;"",H89&lt;&gt;""),IF(F89="yes",G89-H89,IF(F89="no",(1-G89)-(1-H89),"")),"")</f>
        <v/>
      </c>
      <c r="J89" s="11" t="str">
        <f aca="false">IF(AND(I89&lt;&gt;"",I89&gt;0,H89&lt;&gt;"",H89&lt;1),I89/(1-H89)*0.25,"")</f>
        <v/>
      </c>
      <c r="K89" s="9"/>
      <c r="L89" s="9"/>
      <c r="M89" s="9"/>
      <c r="N89" s="12" t="str">
        <f aca="false">IF(AND(M89&lt;&gt;"",F89&lt;&gt;"",H89&lt;&gt;"",K89&lt;&gt;""),IF(M89="win",(1-IF(F89="yes",H89,1-H89))*K89,IF(M89="loss",-IF(F89="yes",H89,1-H89)*K89,"")),"")</f>
        <v/>
      </c>
      <c r="O89" s="12" t="str">
        <f aca="false">IF(N89&lt;&gt;"",IF(O88&lt;&gt;"",O88,0)+N89,IF(O88&lt;&gt;"",O88,""))</f>
        <v/>
      </c>
      <c r="P89" s="9"/>
    </row>
    <row r="90" customFormat="false" ht="15" hidden="false" customHeight="true" outlineLevel="0" collapsed="false">
      <c r="A90" s="3" t="n">
        <v>89</v>
      </c>
      <c r="B90" s="4"/>
      <c r="C90" s="4"/>
      <c r="D90" s="4"/>
      <c r="E90" s="4"/>
      <c r="F90" s="4"/>
      <c r="G90" s="5"/>
      <c r="H90" s="5"/>
      <c r="I90" s="6" t="str">
        <f aca="false">IF(AND(F90&lt;&gt;"",G90&lt;&gt;"",H90&lt;&gt;""),IF(F90="yes",G90-H90,IF(F90="no",(1-G90)-(1-H90),"")),"")</f>
        <v/>
      </c>
      <c r="J90" s="6" t="str">
        <f aca="false">IF(AND(I90&lt;&gt;"",I90&gt;0,H90&lt;&gt;"",H90&lt;1),I90/(1-H90)*0.25,"")</f>
        <v/>
      </c>
      <c r="K90" s="4"/>
      <c r="L90" s="4"/>
      <c r="M90" s="4"/>
      <c r="N90" s="7" t="str">
        <f aca="false">IF(AND(M90&lt;&gt;"",F90&lt;&gt;"",H90&lt;&gt;"",K90&lt;&gt;""),IF(M90="win",(1-IF(F90="yes",H90,1-H90))*K90,IF(M90="loss",-IF(F90="yes",H90,1-H90)*K90,"")),"")</f>
        <v/>
      </c>
      <c r="O90" s="7" t="str">
        <f aca="false">IF(N90&lt;&gt;"",IF(O89&lt;&gt;"",O89,0)+N90,IF(O89&lt;&gt;"",O89,""))</f>
        <v/>
      </c>
      <c r="P90" s="4"/>
    </row>
    <row r="91" customFormat="false" ht="15" hidden="false" customHeight="true" outlineLevel="0" collapsed="false">
      <c r="A91" s="8" t="n">
        <v>90</v>
      </c>
      <c r="B91" s="9"/>
      <c r="C91" s="9"/>
      <c r="D91" s="9"/>
      <c r="E91" s="9"/>
      <c r="F91" s="9"/>
      <c r="G91" s="10"/>
      <c r="H91" s="10"/>
      <c r="I91" s="11" t="str">
        <f aca="false">IF(AND(F91&lt;&gt;"",G91&lt;&gt;"",H91&lt;&gt;""),IF(F91="yes",G91-H91,IF(F91="no",(1-G91)-(1-H91),"")),"")</f>
        <v/>
      </c>
      <c r="J91" s="11" t="str">
        <f aca="false">IF(AND(I91&lt;&gt;"",I91&gt;0,H91&lt;&gt;"",H91&lt;1),I91/(1-H91)*0.25,"")</f>
        <v/>
      </c>
      <c r="K91" s="9"/>
      <c r="L91" s="9"/>
      <c r="M91" s="9"/>
      <c r="N91" s="12" t="str">
        <f aca="false">IF(AND(M91&lt;&gt;"",F91&lt;&gt;"",H91&lt;&gt;"",K91&lt;&gt;""),IF(M91="win",(1-IF(F91="yes",H91,1-H91))*K91,IF(M91="loss",-IF(F91="yes",H91,1-H91)*K91,"")),"")</f>
        <v/>
      </c>
      <c r="O91" s="12" t="str">
        <f aca="false">IF(N91&lt;&gt;"",IF(O90&lt;&gt;"",O90,0)+N91,IF(O90&lt;&gt;"",O90,""))</f>
        <v/>
      </c>
      <c r="P91" s="9"/>
    </row>
    <row r="92" customFormat="false" ht="15" hidden="false" customHeight="true" outlineLevel="0" collapsed="false">
      <c r="A92" s="3" t="n">
        <v>91</v>
      </c>
      <c r="B92" s="4"/>
      <c r="C92" s="4"/>
      <c r="D92" s="4"/>
      <c r="E92" s="4"/>
      <c r="F92" s="4"/>
      <c r="G92" s="5"/>
      <c r="H92" s="5"/>
      <c r="I92" s="6" t="str">
        <f aca="false">IF(AND(F92&lt;&gt;"",G92&lt;&gt;"",H92&lt;&gt;""),IF(F92="yes",G92-H92,IF(F92="no",(1-G92)-(1-H92),"")),"")</f>
        <v/>
      </c>
      <c r="J92" s="6" t="str">
        <f aca="false">IF(AND(I92&lt;&gt;"",I92&gt;0,H92&lt;&gt;"",H92&lt;1),I92/(1-H92)*0.25,"")</f>
        <v/>
      </c>
      <c r="K92" s="4"/>
      <c r="L92" s="4"/>
      <c r="M92" s="4"/>
      <c r="N92" s="7" t="str">
        <f aca="false">IF(AND(M92&lt;&gt;"",F92&lt;&gt;"",H92&lt;&gt;"",K92&lt;&gt;""),IF(M92="win",(1-IF(F92="yes",H92,1-H92))*K92,IF(M92="loss",-IF(F92="yes",H92,1-H92)*K92,"")),"")</f>
        <v/>
      </c>
      <c r="O92" s="7" t="str">
        <f aca="false">IF(N92&lt;&gt;"",IF(O91&lt;&gt;"",O91,0)+N92,IF(O91&lt;&gt;"",O91,""))</f>
        <v/>
      </c>
      <c r="P92" s="4"/>
    </row>
    <row r="93" customFormat="false" ht="15" hidden="false" customHeight="true" outlineLevel="0" collapsed="false">
      <c r="A93" s="8" t="n">
        <v>92</v>
      </c>
      <c r="B93" s="9"/>
      <c r="C93" s="9"/>
      <c r="D93" s="9"/>
      <c r="E93" s="9"/>
      <c r="F93" s="9"/>
      <c r="G93" s="10"/>
      <c r="H93" s="10"/>
      <c r="I93" s="11" t="str">
        <f aca="false">IF(AND(F93&lt;&gt;"",G93&lt;&gt;"",H93&lt;&gt;""),IF(F93="yes",G93-H93,IF(F93="no",(1-G93)-(1-H93),"")),"")</f>
        <v/>
      </c>
      <c r="J93" s="11" t="str">
        <f aca="false">IF(AND(I93&lt;&gt;"",I93&gt;0,H93&lt;&gt;"",H93&lt;1),I93/(1-H93)*0.25,"")</f>
        <v/>
      </c>
      <c r="K93" s="9"/>
      <c r="L93" s="9"/>
      <c r="M93" s="9"/>
      <c r="N93" s="12" t="str">
        <f aca="false">IF(AND(M93&lt;&gt;"",F93&lt;&gt;"",H93&lt;&gt;"",K93&lt;&gt;""),IF(M93="win",(1-IF(F93="yes",H93,1-H93))*K93,IF(M93="loss",-IF(F93="yes",H93,1-H93)*K93,"")),"")</f>
        <v/>
      </c>
      <c r="O93" s="12" t="str">
        <f aca="false">IF(N93&lt;&gt;"",IF(O92&lt;&gt;"",O92,0)+N93,IF(O92&lt;&gt;"",O92,""))</f>
        <v/>
      </c>
      <c r="P93" s="9"/>
    </row>
    <row r="94" customFormat="false" ht="15" hidden="false" customHeight="true" outlineLevel="0" collapsed="false">
      <c r="A94" s="3" t="n">
        <v>93</v>
      </c>
      <c r="B94" s="4"/>
      <c r="C94" s="4"/>
      <c r="D94" s="4"/>
      <c r="E94" s="4"/>
      <c r="F94" s="4"/>
      <c r="G94" s="5"/>
      <c r="H94" s="5"/>
      <c r="I94" s="6" t="str">
        <f aca="false">IF(AND(F94&lt;&gt;"",G94&lt;&gt;"",H94&lt;&gt;""),IF(F94="yes",G94-H94,IF(F94="no",(1-G94)-(1-H94),"")),"")</f>
        <v/>
      </c>
      <c r="J94" s="6" t="str">
        <f aca="false">IF(AND(I94&lt;&gt;"",I94&gt;0,H94&lt;&gt;"",H94&lt;1),I94/(1-H94)*0.25,"")</f>
        <v/>
      </c>
      <c r="K94" s="4"/>
      <c r="L94" s="4"/>
      <c r="M94" s="4"/>
      <c r="N94" s="7" t="str">
        <f aca="false">IF(AND(M94&lt;&gt;"",F94&lt;&gt;"",H94&lt;&gt;"",K94&lt;&gt;""),IF(M94="win",(1-IF(F94="yes",H94,1-H94))*K94,IF(M94="loss",-IF(F94="yes",H94,1-H94)*K94,"")),"")</f>
        <v/>
      </c>
      <c r="O94" s="7" t="str">
        <f aca="false">IF(N94&lt;&gt;"",IF(O93&lt;&gt;"",O93,0)+N94,IF(O93&lt;&gt;"",O93,""))</f>
        <v/>
      </c>
      <c r="P94" s="4"/>
    </row>
    <row r="95" customFormat="false" ht="15" hidden="false" customHeight="true" outlineLevel="0" collapsed="false">
      <c r="A95" s="8" t="n">
        <v>94</v>
      </c>
      <c r="B95" s="9"/>
      <c r="C95" s="9"/>
      <c r="D95" s="9"/>
      <c r="E95" s="9"/>
      <c r="F95" s="9"/>
      <c r="G95" s="10"/>
      <c r="H95" s="10"/>
      <c r="I95" s="11" t="str">
        <f aca="false">IF(AND(F95&lt;&gt;"",G95&lt;&gt;"",H95&lt;&gt;""),IF(F95="yes",G95-H95,IF(F95="no",(1-G95)-(1-H95),"")),"")</f>
        <v/>
      </c>
      <c r="J95" s="11" t="str">
        <f aca="false">IF(AND(I95&lt;&gt;"",I95&gt;0,H95&lt;&gt;"",H95&lt;1),I95/(1-H95)*0.25,"")</f>
        <v/>
      </c>
      <c r="K95" s="9"/>
      <c r="L95" s="9"/>
      <c r="M95" s="9"/>
      <c r="N95" s="12" t="str">
        <f aca="false">IF(AND(M95&lt;&gt;"",F95&lt;&gt;"",H95&lt;&gt;"",K95&lt;&gt;""),IF(M95="win",(1-IF(F95="yes",H95,1-H95))*K95,IF(M95="loss",-IF(F95="yes",H95,1-H95)*K95,"")),"")</f>
        <v/>
      </c>
      <c r="O95" s="12" t="str">
        <f aca="false">IF(N95&lt;&gt;"",IF(O94&lt;&gt;"",O94,0)+N95,IF(O94&lt;&gt;"",O94,""))</f>
        <v/>
      </c>
      <c r="P95" s="9"/>
    </row>
    <row r="96" customFormat="false" ht="15" hidden="false" customHeight="true" outlineLevel="0" collapsed="false">
      <c r="A96" s="3" t="n">
        <v>95</v>
      </c>
      <c r="B96" s="4"/>
      <c r="C96" s="4"/>
      <c r="D96" s="4"/>
      <c r="E96" s="4"/>
      <c r="F96" s="4"/>
      <c r="G96" s="5"/>
      <c r="H96" s="5"/>
      <c r="I96" s="6" t="str">
        <f aca="false">IF(AND(F96&lt;&gt;"",G96&lt;&gt;"",H96&lt;&gt;""),IF(F96="yes",G96-H96,IF(F96="no",(1-G96)-(1-H96),"")),"")</f>
        <v/>
      </c>
      <c r="J96" s="6" t="str">
        <f aca="false">IF(AND(I96&lt;&gt;"",I96&gt;0,H96&lt;&gt;"",H96&lt;1),I96/(1-H96)*0.25,"")</f>
        <v/>
      </c>
      <c r="K96" s="4"/>
      <c r="L96" s="4"/>
      <c r="M96" s="4"/>
      <c r="N96" s="7" t="str">
        <f aca="false">IF(AND(M96&lt;&gt;"",F96&lt;&gt;"",H96&lt;&gt;"",K96&lt;&gt;""),IF(M96="win",(1-IF(F96="yes",H96,1-H96))*K96,IF(M96="loss",-IF(F96="yes",H96,1-H96)*K96,"")),"")</f>
        <v/>
      </c>
      <c r="O96" s="7" t="str">
        <f aca="false">IF(N96&lt;&gt;"",IF(O95&lt;&gt;"",O95,0)+N96,IF(O95&lt;&gt;"",O95,""))</f>
        <v/>
      </c>
      <c r="P96" s="4"/>
    </row>
    <row r="97" customFormat="false" ht="15" hidden="false" customHeight="true" outlineLevel="0" collapsed="false">
      <c r="A97" s="8" t="n">
        <v>96</v>
      </c>
      <c r="B97" s="9"/>
      <c r="C97" s="9"/>
      <c r="D97" s="9"/>
      <c r="E97" s="9"/>
      <c r="F97" s="9"/>
      <c r="G97" s="10"/>
      <c r="H97" s="10"/>
      <c r="I97" s="11" t="str">
        <f aca="false">IF(AND(F97&lt;&gt;"",G97&lt;&gt;"",H97&lt;&gt;""),IF(F97="yes",G97-H97,IF(F97="no",(1-G97)-(1-H97),"")),"")</f>
        <v/>
      </c>
      <c r="J97" s="11" t="str">
        <f aca="false">IF(AND(I97&lt;&gt;"",I97&gt;0,H97&lt;&gt;"",H97&lt;1),I97/(1-H97)*0.25,"")</f>
        <v/>
      </c>
      <c r="K97" s="9"/>
      <c r="L97" s="9"/>
      <c r="M97" s="9"/>
      <c r="N97" s="12" t="str">
        <f aca="false">IF(AND(M97&lt;&gt;"",F97&lt;&gt;"",H97&lt;&gt;"",K97&lt;&gt;""),IF(M97="win",(1-IF(F97="yes",H97,1-H97))*K97,IF(M97="loss",-IF(F97="yes",H97,1-H97)*K97,"")),"")</f>
        <v/>
      </c>
      <c r="O97" s="12" t="str">
        <f aca="false">IF(N97&lt;&gt;"",IF(O96&lt;&gt;"",O96,0)+N97,IF(O96&lt;&gt;"",O96,""))</f>
        <v/>
      </c>
      <c r="P97" s="9"/>
    </row>
    <row r="98" customFormat="false" ht="15" hidden="false" customHeight="true" outlineLevel="0" collapsed="false">
      <c r="A98" s="3" t="n">
        <v>97</v>
      </c>
      <c r="B98" s="4"/>
      <c r="C98" s="4"/>
      <c r="D98" s="4"/>
      <c r="E98" s="4"/>
      <c r="F98" s="4"/>
      <c r="G98" s="5"/>
      <c r="H98" s="5"/>
      <c r="I98" s="6" t="str">
        <f aca="false">IF(AND(F98&lt;&gt;"",G98&lt;&gt;"",H98&lt;&gt;""),IF(F98="yes",G98-H98,IF(F98="no",(1-G98)-(1-H98),"")),"")</f>
        <v/>
      </c>
      <c r="J98" s="6" t="str">
        <f aca="false">IF(AND(I98&lt;&gt;"",I98&gt;0,H98&lt;&gt;"",H98&lt;1),I98/(1-H98)*0.25,"")</f>
        <v/>
      </c>
      <c r="K98" s="4"/>
      <c r="L98" s="4"/>
      <c r="M98" s="4"/>
      <c r="N98" s="7" t="str">
        <f aca="false">IF(AND(M98&lt;&gt;"",F98&lt;&gt;"",H98&lt;&gt;"",K98&lt;&gt;""),IF(M98="win",(1-IF(F98="yes",H98,1-H98))*K98,IF(M98="loss",-IF(F98="yes",H98,1-H98)*K98,"")),"")</f>
        <v/>
      </c>
      <c r="O98" s="7" t="str">
        <f aca="false">IF(N98&lt;&gt;"",IF(O97&lt;&gt;"",O97,0)+N98,IF(O97&lt;&gt;"",O97,""))</f>
        <v/>
      </c>
      <c r="P98" s="4"/>
    </row>
    <row r="99" customFormat="false" ht="15" hidden="false" customHeight="true" outlineLevel="0" collapsed="false">
      <c r="A99" s="8" t="n">
        <v>98</v>
      </c>
      <c r="B99" s="9"/>
      <c r="C99" s="9"/>
      <c r="D99" s="9"/>
      <c r="E99" s="9"/>
      <c r="F99" s="9"/>
      <c r="G99" s="10"/>
      <c r="H99" s="10"/>
      <c r="I99" s="11" t="str">
        <f aca="false">IF(AND(F99&lt;&gt;"",G99&lt;&gt;"",H99&lt;&gt;""),IF(F99="yes",G99-H99,IF(F99="no",(1-G99)-(1-H99),"")),"")</f>
        <v/>
      </c>
      <c r="J99" s="11" t="str">
        <f aca="false">IF(AND(I99&lt;&gt;"",I99&gt;0,H99&lt;&gt;"",H99&lt;1),I99/(1-H99)*0.25,"")</f>
        <v/>
      </c>
      <c r="K99" s="9"/>
      <c r="L99" s="9"/>
      <c r="M99" s="9"/>
      <c r="N99" s="12" t="str">
        <f aca="false">IF(AND(M99&lt;&gt;"",F99&lt;&gt;"",H99&lt;&gt;"",K99&lt;&gt;""),IF(M99="win",(1-IF(F99="yes",H99,1-H99))*K99,IF(M99="loss",-IF(F99="yes",H99,1-H99)*K99,"")),"")</f>
        <v/>
      </c>
      <c r="O99" s="12" t="str">
        <f aca="false">IF(N99&lt;&gt;"",IF(O98&lt;&gt;"",O98,0)+N99,IF(O98&lt;&gt;"",O98,""))</f>
        <v/>
      </c>
      <c r="P99" s="9"/>
    </row>
    <row r="100" customFormat="false" ht="15" hidden="false" customHeight="true" outlineLevel="0" collapsed="false">
      <c r="A100" s="3" t="n">
        <v>99</v>
      </c>
      <c r="B100" s="4"/>
      <c r="C100" s="4"/>
      <c r="D100" s="4"/>
      <c r="E100" s="4"/>
      <c r="F100" s="4"/>
      <c r="G100" s="5"/>
      <c r="H100" s="5"/>
      <c r="I100" s="6" t="str">
        <f aca="false">IF(AND(F100&lt;&gt;"",G100&lt;&gt;"",H100&lt;&gt;""),IF(F100="yes",G100-H100,IF(F100="no",(1-G100)-(1-H100),"")),"")</f>
        <v/>
      </c>
      <c r="J100" s="6" t="str">
        <f aca="false">IF(AND(I100&lt;&gt;"",I100&gt;0,H100&lt;&gt;"",H100&lt;1),I100/(1-H100)*0.25,"")</f>
        <v/>
      </c>
      <c r="K100" s="4"/>
      <c r="L100" s="4"/>
      <c r="M100" s="4"/>
      <c r="N100" s="7" t="str">
        <f aca="false">IF(AND(M100&lt;&gt;"",F100&lt;&gt;"",H100&lt;&gt;"",K100&lt;&gt;""),IF(M100="win",(1-IF(F100="yes",H100,1-H100))*K100,IF(M100="loss",-IF(F100="yes",H100,1-H100)*K100,"")),"")</f>
        <v/>
      </c>
      <c r="O100" s="7" t="str">
        <f aca="false">IF(N100&lt;&gt;"",IF(O99&lt;&gt;"",O99,0)+N100,IF(O99&lt;&gt;"",O99,""))</f>
        <v/>
      </c>
      <c r="P100" s="4"/>
    </row>
    <row r="101" customFormat="false" ht="15" hidden="false" customHeight="true" outlineLevel="0" collapsed="false">
      <c r="A101" s="8" t="n">
        <v>100</v>
      </c>
      <c r="B101" s="9"/>
      <c r="C101" s="9"/>
      <c r="D101" s="9"/>
      <c r="E101" s="9"/>
      <c r="F101" s="9"/>
      <c r="G101" s="10"/>
      <c r="H101" s="10"/>
      <c r="I101" s="11" t="str">
        <f aca="false">IF(AND(F101&lt;&gt;"",G101&lt;&gt;"",H101&lt;&gt;""),IF(F101="yes",G101-H101,IF(F101="no",(1-G101)-(1-H101),"")),"")</f>
        <v/>
      </c>
      <c r="J101" s="11" t="str">
        <f aca="false">IF(AND(I101&lt;&gt;"",I101&gt;0,H101&lt;&gt;"",H101&lt;1),I101/(1-H101)*0.25,"")</f>
        <v/>
      </c>
      <c r="K101" s="9"/>
      <c r="L101" s="9"/>
      <c r="M101" s="9"/>
      <c r="N101" s="12" t="str">
        <f aca="false">IF(AND(M101&lt;&gt;"",F101&lt;&gt;"",H101&lt;&gt;"",K101&lt;&gt;""),IF(M101="win",(1-IF(F101="yes",H101,1-H101))*K101,IF(M101="loss",-IF(F101="yes",H101,1-H101)*K101,"")),"")</f>
        <v/>
      </c>
      <c r="O101" s="12" t="str">
        <f aca="false">IF(N101&lt;&gt;"",IF(O100&lt;&gt;"",O100,0)+N101,IF(O100&lt;&gt;"",O100,""))</f>
        <v/>
      </c>
      <c r="P10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4"/>
    <col collapsed="false" customWidth="true" hidden="false" outlineLevel="0" max="4" min="4" style="1" width="16"/>
    <col collapsed="false" customWidth="true" hidden="false" outlineLevel="0" max="5" min="5" style="1" width="14"/>
  </cols>
  <sheetData>
    <row r="1" customFormat="false" ht="19.5" hidden="false" customHeight="true" outlineLevel="0" collapsed="false">
      <c r="A1" s="13" t="s">
        <v>16</v>
      </c>
      <c r="B1" s="13"/>
      <c r="C1" s="13"/>
      <c r="D1" s="13"/>
      <c r="E1" s="13"/>
      <c r="F1" s="13"/>
    </row>
    <row r="3" customFormat="false" ht="15" hidden="false" customHeight="true" outlineLevel="0" collapsed="false">
      <c r="A3" s="14" t="s">
        <v>17</v>
      </c>
      <c r="D3" s="15" t="s">
        <v>18</v>
      </c>
      <c r="E3" s="16"/>
    </row>
    <row r="4" customFormat="false" ht="15" hidden="false" customHeight="true" outlineLevel="0" collapsed="false">
      <c r="A4" s="14" t="s">
        <v>19</v>
      </c>
      <c r="B4" s="17" t="n">
        <f aca="false">COUNTA('Trade Log'!M2:M101)-COUNTBLANK('Trade Log'!M2:M101)</f>
        <v>-100</v>
      </c>
      <c r="D4" s="1" t="s">
        <v>20</v>
      </c>
      <c r="E4" s="1" t="n">
        <f aca="false">COUNTIF('Trade Log'!D2:D101,"crypto")</f>
        <v>0</v>
      </c>
    </row>
    <row r="5" customFormat="false" ht="15" hidden="false" customHeight="true" outlineLevel="0" collapsed="false">
      <c r="A5" s="14" t="s">
        <v>21</v>
      </c>
      <c r="B5" s="11" t="str">
        <f aca="false">IF(B4&gt;0,COUNTIF('Trade Log'!M2:M101,"win")/B4,"-")</f>
        <v>-</v>
      </c>
      <c r="D5" s="1" t="s">
        <v>21</v>
      </c>
      <c r="E5" s="18" t="str">
        <f aca="false">IF(E4&gt;0,COUNTIFS('Trade Log'!D2:D101,"crypto",'Trade Log'!M2:M101,"win")/E4,"-")</f>
        <v>-</v>
      </c>
    </row>
    <row r="6" customFormat="false" ht="15" hidden="false" customHeight="true" outlineLevel="0" collapsed="false">
      <c r="A6" s="14" t="s">
        <v>22</v>
      </c>
      <c r="B6" s="19" t="n">
        <f aca="false">IF(B4&gt;0,SUMPRODUCT((('Trade Log'!M2:M101&lt;&gt;"")*1)*('Trade Log'!N2:N101)),0)</f>
        <v>0</v>
      </c>
      <c r="D6" s="1" t="s">
        <v>23</v>
      </c>
      <c r="E6" s="20" t="n">
        <f aca="false">IF(E4&gt;0,SUMPRODUCT((('Trade Log'!D2:D101="crypto")*1)*(('Trade Log'!M2:M101&lt;&gt;"")*1)*('Trade Log'!N2:N101)),0)</f>
        <v>0</v>
      </c>
    </row>
    <row r="7" customFormat="false" ht="15" hidden="false" customHeight="true" outlineLevel="0" collapsed="false">
      <c r="A7" s="14" t="s">
        <v>24</v>
      </c>
      <c r="B7" s="11" t="str">
        <f aca="false">IF(B4&gt;0,AVERAGEIF('Trade Log'!I2:I101,"&gt;0"),"-")</f>
        <v>-</v>
      </c>
      <c r="D7" s="15" t="s">
        <v>25</v>
      </c>
      <c r="E7" s="16"/>
    </row>
    <row r="8" customFormat="false" ht="15" hidden="false" customHeight="true" outlineLevel="0" collapsed="false">
      <c r="A8" s="14" t="s">
        <v>26</v>
      </c>
      <c r="B8" s="21" t="str">
        <f aca="false">IF(B4&gt;0,B6/B4,"-")</f>
        <v>-</v>
      </c>
      <c r="D8" s="1" t="s">
        <v>20</v>
      </c>
      <c r="E8" s="1" t="n">
        <f aca="false">COUNTIF('Trade Log'!D2:D101,"weather")</f>
        <v>0</v>
      </c>
    </row>
    <row r="9" customFormat="false" ht="15" hidden="false" customHeight="true" outlineLevel="0" collapsed="false">
      <c r="A9" s="14" t="s">
        <v>27</v>
      </c>
      <c r="B9" s="22" t="str">
        <f aca="false">IF(B4&gt;0,SUMPRODUCT(IF('Trade Log'!M2:M101="win",('Trade Log'!G2:G101-1)^2,('Trade Log'!G2:G101)^2))/B4,"-")</f>
        <v>-</v>
      </c>
      <c r="D9" s="1" t="s">
        <v>21</v>
      </c>
      <c r="E9" s="18" t="str">
        <f aca="false">IF(E8&gt;0,COUNTIFS('Trade Log'!D2:D101,"weather",'Trade Log'!M2:M101,"win")/E8,"-")</f>
        <v>-</v>
      </c>
    </row>
    <row r="10" customFormat="false" ht="15" hidden="false" customHeight="true" outlineLevel="0" collapsed="false">
      <c r="D10" s="1" t="s">
        <v>23</v>
      </c>
      <c r="E10" s="20" t="n">
        <f aca="false">IF(E8&gt;0,SUMPRODUCT((('Trade Log'!D2:D101="weather")*1)*(('Trade Log'!M2:M101&lt;&gt;"")*1)*('Trade Log'!N2:N101)),0)</f>
        <v>0</v>
      </c>
    </row>
    <row r="11" customFormat="false" ht="15" hidden="false" customHeight="true" outlineLevel="0" collapsed="false">
      <c r="D11" s="15" t="s">
        <v>28</v>
      </c>
      <c r="E11" s="16"/>
    </row>
    <row r="12" customFormat="false" ht="15" hidden="false" customHeight="true" outlineLevel="0" collapsed="false">
      <c r="D12" s="1" t="s">
        <v>20</v>
      </c>
      <c r="E12" s="1" t="n">
        <f aca="false">COUNTIF('Trade Log'!D2:D101,"economics")</f>
        <v>0</v>
      </c>
    </row>
    <row r="13" customFormat="false" ht="15" hidden="false" customHeight="true" outlineLevel="0" collapsed="false">
      <c r="D13" s="1" t="s">
        <v>21</v>
      </c>
      <c r="E13" s="18" t="str">
        <f aca="false">IF(E12&gt;0,COUNTIFS('Trade Log'!D2:D101,"economics",'Trade Log'!M2:M101,"win")/E12,"-")</f>
        <v>-</v>
      </c>
    </row>
    <row r="14" customFormat="false" ht="15" hidden="false" customHeight="true" outlineLevel="0" collapsed="false">
      <c r="D14" s="1" t="s">
        <v>23</v>
      </c>
      <c r="E14" s="20" t="n">
        <f aca="false">IF(E12&gt;0,SUMPRODUCT((('Trade Log'!D2:D101="economics")*1)*(('Trade Log'!M2:M101&lt;&gt;"")*1)*('Trade Log'!N2:N101)),0)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6"/>
  </cols>
  <sheetData>
    <row r="1" customFormat="false" ht="17.25" hidden="false" customHeight="true" outlineLevel="0" collapsed="false">
      <c r="A1" s="23" t="s">
        <v>29</v>
      </c>
      <c r="B1" s="23"/>
      <c r="C1" s="23"/>
      <c r="D1" s="23"/>
    </row>
    <row r="3" customFormat="false" ht="15" hidden="false" customHeight="true" outlineLevel="0" collapsed="false">
      <c r="A3" s="24" t="s">
        <v>30</v>
      </c>
      <c r="B3" s="24" t="s">
        <v>31</v>
      </c>
      <c r="C3" s="24" t="s">
        <v>32</v>
      </c>
      <c r="D3" s="24" t="s">
        <v>33</v>
      </c>
      <c r="E3" s="24" t="s">
        <v>34</v>
      </c>
    </row>
    <row r="4" customFormat="false" ht="15" hidden="false" customHeight="true" outlineLevel="0" collapsed="false">
      <c r="A4" s="25" t="s">
        <v>35</v>
      </c>
      <c r="B4" s="1" t="n">
        <f aca="false">COUNTIFS('Trade Log'!G2:G101,"&gt;=0",'Trade Log'!G2:G101,"&lt;0.2",'Trade Log'!M2:M101,"&lt;&gt;")</f>
        <v>0</v>
      </c>
      <c r="C4" s="18" t="str">
        <f aca="false">IF(B4&gt;0,COUNTIFS('Trade Log'!G2:G101,"&gt;=0",'Trade Log'!G2:G101,"&lt;0.2",'Trade Log'!M2:M101,"win")/B4,"-")</f>
        <v>-</v>
      </c>
      <c r="D4" s="18" t="n">
        <v>0.1</v>
      </c>
      <c r="E4" s="26" t="str">
        <f aca="false">IF(C4&lt;&gt;"-",C4-D4,"-")</f>
        <v>-</v>
      </c>
    </row>
    <row r="5" customFormat="false" ht="15" hidden="false" customHeight="true" outlineLevel="0" collapsed="false">
      <c r="A5" s="25" t="s">
        <v>36</v>
      </c>
      <c r="B5" s="1" t="n">
        <f aca="false">COUNTIFS('Trade Log'!G2:G101,"&gt;=0.2",'Trade Log'!G2:G101,"&lt;0.4",'Trade Log'!M2:M101,"&lt;&gt;")</f>
        <v>0</v>
      </c>
      <c r="C5" s="18" t="str">
        <f aca="false">IF(B5&gt;0,COUNTIFS('Trade Log'!G2:G101,"&gt;=0.2",'Trade Log'!G2:G101,"&lt;0.4",'Trade Log'!M2:M101,"win")/B5,"-")</f>
        <v>-</v>
      </c>
      <c r="D5" s="18" t="n">
        <v>0.3</v>
      </c>
      <c r="E5" s="26" t="str">
        <f aca="false">IF(C5&lt;&gt;"-",C5-D5,"-")</f>
        <v>-</v>
      </c>
    </row>
    <row r="6" customFormat="false" ht="15" hidden="false" customHeight="true" outlineLevel="0" collapsed="false">
      <c r="A6" s="25" t="s">
        <v>37</v>
      </c>
      <c r="B6" s="1" t="n">
        <f aca="false">COUNTIFS('Trade Log'!G2:G101,"&gt;=0.4",'Trade Log'!G2:G101,"&lt;0.6",'Trade Log'!M2:M101,"&lt;&gt;")</f>
        <v>0</v>
      </c>
      <c r="C6" s="18" t="str">
        <f aca="false">IF(B6&gt;0,COUNTIFS('Trade Log'!G2:G101,"&gt;=0.4",'Trade Log'!G2:G101,"&lt;0.6",'Trade Log'!M2:M101,"win")/B6,"-")</f>
        <v>-</v>
      </c>
      <c r="D6" s="18" t="n">
        <v>0.5</v>
      </c>
      <c r="E6" s="26" t="str">
        <f aca="false">IF(C6&lt;&gt;"-",C6-D6,"-")</f>
        <v>-</v>
      </c>
    </row>
    <row r="7" customFormat="false" ht="15" hidden="false" customHeight="true" outlineLevel="0" collapsed="false">
      <c r="A7" s="25" t="s">
        <v>38</v>
      </c>
      <c r="B7" s="1" t="n">
        <f aca="false">COUNTIFS('Trade Log'!G2:G101,"&gt;=0.6",'Trade Log'!G2:G101,"&lt;0.8",'Trade Log'!M2:M101,"&lt;&gt;")</f>
        <v>0</v>
      </c>
      <c r="C7" s="18" t="str">
        <f aca="false">IF(B7&gt;0,COUNTIFS('Trade Log'!G2:G101,"&gt;=0.6",'Trade Log'!G2:G101,"&lt;0.8",'Trade Log'!M2:M101,"win")/B7,"-")</f>
        <v>-</v>
      </c>
      <c r="D7" s="18" t="n">
        <v>0.7</v>
      </c>
      <c r="E7" s="26" t="str">
        <f aca="false">IF(C7&lt;&gt;"-",C7-D7,"-")</f>
        <v>-</v>
      </c>
    </row>
    <row r="8" customFormat="false" ht="15" hidden="false" customHeight="true" outlineLevel="0" collapsed="false">
      <c r="A8" s="25" t="s">
        <v>39</v>
      </c>
      <c r="B8" s="1" t="n">
        <f aca="false">COUNTIFS('Trade Log'!G2:G101,"&gt;=0.8",'Trade Log'!G2:G101,"&lt;1.01",'Trade Log'!M2:M101,"&lt;&gt;")</f>
        <v>0</v>
      </c>
      <c r="C8" s="18" t="str">
        <f aca="false">IF(B8&gt;0,COUNTIFS('Trade Log'!G2:G101,"&gt;=0.8",'Trade Log'!G2:G101,"&lt;1.01",'Trade Log'!M2:M101,"win")/B8,"-")</f>
        <v>-</v>
      </c>
      <c r="D8" s="18" t="n">
        <v>0.905</v>
      </c>
      <c r="E8" s="26" t="str">
        <f aca="false">IF(C8&lt;&gt;"-",C8-D8,"-")</f>
        <v>-</v>
      </c>
    </row>
    <row r="10" customFormat="false" ht="15" hidden="false" customHeight="true" outlineLevel="0" collapsed="false">
      <c r="A10" s="27" t="s">
        <v>40</v>
      </c>
      <c r="B10" s="27"/>
      <c r="C10" s="27"/>
      <c r="D10" s="27"/>
      <c r="E10" s="27"/>
    </row>
    <row r="11" customFormat="false" ht="15" hidden="false" customHeight="true" outlineLevel="0" collapsed="false">
      <c r="A11" s="27" t="s">
        <v>41</v>
      </c>
      <c r="B11" s="27"/>
      <c r="C11" s="27"/>
      <c r="D11" s="27"/>
      <c r="E11" s="27"/>
    </row>
    <row r="12" customFormat="false" ht="15" hidden="false" customHeight="true" outlineLevel="0" collapsed="false">
      <c r="A12" s="27" t="s">
        <v>42</v>
      </c>
      <c r="B12" s="27"/>
      <c r="C12" s="27"/>
      <c r="D12" s="27"/>
      <c r="E12" s="27"/>
    </row>
    <row r="13" customFormat="false" ht="15" hidden="false" customHeight="true" outlineLevel="0" collapsed="false">
      <c r="A13" s="27" t="s">
        <v>43</v>
      </c>
      <c r="B13" s="27"/>
      <c r="C13" s="27"/>
      <c r="D13" s="27"/>
      <c r="E13" s="27"/>
    </row>
  </sheetData>
  <mergeCells count="5">
    <mergeCell ref="A1:D1"/>
    <mergeCell ref="A10:E10"/>
    <mergeCell ref="A11:E11"/>
    <mergeCell ref="A12:E1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2026-03-20T20:39:13Z</dcterms:created>
  <dc:creator>openpyxl</dc:creator>
  <dc:description/>
  <dc:language>en-US</dc:language>
  <cp:lastModifiedBy/>
  <dcterms:modified xsi:type="dcterms:W3CDTF">2026-03-20T20:39:53Z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